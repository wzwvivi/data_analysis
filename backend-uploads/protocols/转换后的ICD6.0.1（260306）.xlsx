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8975" activeTab="1"/>
  </bookViews>
  <sheets>
    <sheet name="上行数据" sheetId="3" r:id="rId1"/>
    <sheet name="下行数据" sheetId="5" r:id="rId2"/>
    <sheet name="网络交互数据" sheetId="6" r:id="rId3"/>
    <sheet name="协议版本" sheetId="7" r:id="rId4"/>
    <sheet name="更改记录" sheetId="8" r:id="rId5"/>
  </sheets>
  <definedNames>
    <definedName name="_xlnm._FilterDatabase" localSheetId="0" hidden="1">上行数据!$A$1:$N$2409</definedName>
    <definedName name="_xlnm._FilterDatabase" localSheetId="1" hidden="1">下行数据!$A$1:$S$469</definedName>
    <definedName name="_xlnm._FilterDatabase" localSheetId="2" hidden="1">网络交互数据!$A$1:$N$304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Eric</author>
  </authors>
  <commentList>
    <comment ref="D1" authorId="0">
      <text>
        <r>
          <rPr>
            <b/>
            <sz val="9"/>
            <rFont val="宋体"/>
            <charset val="134"/>
          </rPr>
          <t>Eric：
上网设备发送消息的物理接口编号</t>
        </r>
      </text>
    </comment>
    <comment ref="H1" authorId="0">
      <text>
        <r>
          <rPr>
            <b/>
            <sz val="9"/>
            <rFont val="宋体"/>
            <charset val="134"/>
          </rPr>
          <t>Eric:</t>
        </r>
        <r>
          <rPr>
            <sz val="9"/>
            <rFont val="宋体"/>
            <charset val="134"/>
          </rPr>
          <t xml:space="preserve">
接入消息源设备的DIU设备的编号</t>
        </r>
      </text>
    </comment>
  </commentList>
</comments>
</file>

<file path=xl/comments2.xml><?xml version="1.0" encoding="utf-8"?>
<comments xmlns="http://schemas.openxmlformats.org/spreadsheetml/2006/main">
  <authors>
    <author>Eric</author>
  </authors>
  <commentList>
    <comment ref="D1" authorId="0">
      <text>
        <r>
          <rPr>
            <b/>
            <sz val="9"/>
            <rFont val="宋体"/>
            <charset val="134"/>
          </rPr>
          <t>Eric：
上网设备发送消息的物理接口编号</t>
        </r>
      </text>
    </comment>
    <comment ref="H1" authorId="0">
      <text>
        <r>
          <rPr>
            <b/>
            <sz val="9"/>
            <rFont val="宋体"/>
            <charset val="134"/>
          </rPr>
          <t>Eric:</t>
        </r>
        <r>
          <rPr>
            <sz val="9"/>
            <rFont val="宋体"/>
            <charset val="134"/>
          </rPr>
          <t xml:space="preserve">
接入消息源设备的DIU设备的编号</t>
        </r>
      </text>
    </comment>
  </commentList>
</comments>
</file>

<file path=xl/sharedStrings.xml><?xml version="1.0" encoding="utf-8"?>
<sst xmlns="http://schemas.openxmlformats.org/spreadsheetml/2006/main" count="5611" uniqueCount="1769">
  <si>
    <t>消息编号</t>
  </si>
  <si>
    <t>上网设备消息名称</t>
  </si>
  <si>
    <t>消息源设备名称</t>
  </si>
  <si>
    <t>消息源端接口编号</t>
  </si>
  <si>
    <r>
      <rPr>
        <b/>
        <sz val="11"/>
        <color theme="1"/>
        <rFont val="Times New Roman"/>
        <charset val="134"/>
      </rPr>
      <t>UDP</t>
    </r>
    <r>
      <rPr>
        <b/>
        <sz val="11"/>
        <color theme="1"/>
        <rFont val="宋体"/>
        <charset val="134"/>
      </rPr>
      <t>端口</t>
    </r>
  </si>
  <si>
    <r>
      <rPr>
        <b/>
        <sz val="11"/>
        <color theme="1"/>
        <rFont val="宋体"/>
        <charset val="134"/>
      </rPr>
      <t>组播组</t>
    </r>
    <r>
      <rPr>
        <b/>
        <sz val="11"/>
        <color theme="1"/>
        <rFont val="Times New Roman"/>
        <charset val="134"/>
      </rPr>
      <t>IP</t>
    </r>
  </si>
  <si>
    <t>消息内数据集</t>
  </si>
  <si>
    <t>消息内偏移</t>
  </si>
  <si>
    <t>长度</t>
  </si>
  <si>
    <r>
      <rPr>
        <b/>
        <sz val="11"/>
        <rFont val="Times New Roman"/>
        <charset val="134"/>
      </rPr>
      <t>DIU</t>
    </r>
    <r>
      <rPr>
        <b/>
        <sz val="11"/>
        <rFont val="宋体"/>
        <charset val="134"/>
      </rPr>
      <t>编号</t>
    </r>
  </si>
  <si>
    <t>消息周期</t>
  </si>
  <si>
    <t>备注</t>
  </si>
  <si>
    <t>PortID</t>
  </si>
  <si>
    <t>Uplink_Msg_17</t>
  </si>
  <si>
    <t>ADC1_A429Tx_01</t>
  </si>
  <si>
    <r>
      <rPr>
        <sz val="11"/>
        <color theme="1"/>
        <rFont val="Times New Roman"/>
        <charset val="134"/>
      </rPr>
      <t>ADC</t>
    </r>
    <r>
      <rPr>
        <sz val="11"/>
        <color theme="1"/>
        <rFont val="宋体"/>
        <charset val="134"/>
      </rPr>
      <t>（大气数据计算机）</t>
    </r>
    <r>
      <rPr>
        <sz val="11"/>
        <color theme="1"/>
        <rFont val="Times New Roman"/>
        <charset val="134"/>
      </rPr>
      <t>1</t>
    </r>
  </si>
  <si>
    <t>A429Tx_01</t>
  </si>
  <si>
    <t>239.100.2.1</t>
  </si>
  <si>
    <r>
      <rPr>
        <sz val="11"/>
        <color theme="1"/>
        <rFont val="宋体"/>
        <charset val="134"/>
      </rPr>
      <t>协议填充</t>
    </r>
  </si>
  <si>
    <t>DIU3</t>
  </si>
  <si>
    <r>
      <rPr>
        <sz val="11"/>
        <color theme="1"/>
        <rFont val="宋体"/>
        <charset val="134"/>
      </rPr>
      <t>功能状态集</t>
    </r>
  </si>
  <si>
    <t>L102</t>
  </si>
  <si>
    <t>L103</t>
  </si>
  <si>
    <t>L203</t>
  </si>
  <si>
    <t>L205</t>
  </si>
  <si>
    <t>L206</t>
  </si>
  <si>
    <t>L207</t>
  </si>
  <si>
    <t>L210</t>
  </si>
  <si>
    <t>L211</t>
  </si>
  <si>
    <t>L212</t>
  </si>
  <si>
    <t>L213</t>
  </si>
  <si>
    <t>L221</t>
  </si>
  <si>
    <t>L226</t>
  </si>
  <si>
    <t>L176</t>
  </si>
  <si>
    <t>L177</t>
  </si>
  <si>
    <t>L244</t>
  </si>
  <si>
    <t xml:space="preserve"> </t>
  </si>
  <si>
    <t>L245</t>
  </si>
  <si>
    <t>L246</t>
  </si>
  <si>
    <t>L303</t>
  </si>
  <si>
    <t>L304</t>
  </si>
  <si>
    <t>L305</t>
  </si>
  <si>
    <t>L306</t>
  </si>
  <si>
    <t>L307</t>
  </si>
  <si>
    <t>L310</t>
  </si>
  <si>
    <t>L311</t>
  </si>
  <si>
    <t>L312</t>
  </si>
  <si>
    <t>L313</t>
  </si>
  <si>
    <t>L314</t>
  </si>
  <si>
    <t>L321</t>
  </si>
  <si>
    <t>L326</t>
  </si>
  <si>
    <t>L350</t>
  </si>
  <si>
    <t>L137</t>
  </si>
  <si>
    <t>L364</t>
  </si>
  <si>
    <t>Uplink_Msg_35</t>
  </si>
  <si>
    <t>ADC1_A429Tx_02</t>
  </si>
  <si>
    <t>L233</t>
  </si>
  <si>
    <t>L234</t>
  </si>
  <si>
    <t>L237</t>
  </si>
  <si>
    <t>Uplink_Msg_36</t>
  </si>
  <si>
    <t>ADC1_A429Tx_03</t>
  </si>
  <si>
    <t>L235</t>
  </si>
  <si>
    <t>L241</t>
  </si>
  <si>
    <t>L242</t>
  </si>
  <si>
    <t>L243</t>
  </si>
  <si>
    <t>L240</t>
  </si>
  <si>
    <t>L236</t>
  </si>
  <si>
    <t>Uplink_Msg_18</t>
  </si>
  <si>
    <t>ADC2_A429Tx_01</t>
  </si>
  <si>
    <r>
      <rPr>
        <sz val="11"/>
        <color theme="1"/>
        <rFont val="Times New Roman"/>
        <charset val="134"/>
      </rPr>
      <t>ADC</t>
    </r>
    <r>
      <rPr>
        <sz val="11"/>
        <color theme="1"/>
        <rFont val="宋体"/>
        <charset val="134"/>
      </rPr>
      <t>（大气数据计算机）</t>
    </r>
    <r>
      <rPr>
        <sz val="11"/>
        <color theme="1"/>
        <rFont val="Times New Roman"/>
        <charset val="134"/>
      </rPr>
      <t>2</t>
    </r>
  </si>
  <si>
    <t>239.100.2.9</t>
  </si>
  <si>
    <t>DIU2</t>
  </si>
  <si>
    <t>ADC2_A429Tx_02</t>
  </si>
  <si>
    <t>ADC2_A429Tx_03</t>
  </si>
  <si>
    <t>Uplink_Msg_19</t>
  </si>
  <si>
    <t>ADC3_A429Tx_01</t>
  </si>
  <si>
    <r>
      <rPr>
        <sz val="11"/>
        <color theme="1"/>
        <rFont val="Times New Roman"/>
        <charset val="134"/>
      </rPr>
      <t>ADC</t>
    </r>
    <r>
      <rPr>
        <sz val="11"/>
        <color theme="1"/>
        <rFont val="宋体"/>
        <charset val="134"/>
      </rPr>
      <t>（大气数据计算机）</t>
    </r>
    <r>
      <rPr>
        <sz val="11"/>
        <color theme="1"/>
        <rFont val="Times New Roman"/>
        <charset val="134"/>
      </rPr>
      <t>3</t>
    </r>
  </si>
  <si>
    <t>DIU1</t>
  </si>
  <si>
    <t>Uplink_Msg_37</t>
  </si>
  <si>
    <t>ADC3_A429Tx_02</t>
  </si>
  <si>
    <t>Uplink_Msg_38</t>
  </si>
  <si>
    <t>ADC3A429Tx_03</t>
  </si>
  <si>
    <t>Uplink_Msg_20</t>
  </si>
  <si>
    <t>IRS1_R422TX_01</t>
  </si>
  <si>
    <r>
      <rPr>
        <sz val="11"/>
        <color rgb="FFFF0000"/>
        <rFont val="Times New Roman"/>
        <charset val="134"/>
      </rPr>
      <t>IRS</t>
    </r>
    <r>
      <rPr>
        <sz val="11"/>
        <color rgb="FFFF0000"/>
        <rFont val="宋体"/>
        <charset val="134"/>
      </rPr>
      <t>（惯性基准系统）</t>
    </r>
    <r>
      <rPr>
        <sz val="11"/>
        <color rgb="FFFF0000"/>
        <rFont val="Times New Roman"/>
        <charset val="134"/>
      </rPr>
      <t>1</t>
    </r>
  </si>
  <si>
    <t>R422Tx_01</t>
  </si>
  <si>
    <t>239.100.3.1</t>
  </si>
  <si>
    <t>协议填充</t>
  </si>
  <si>
    <t>功能状态集</t>
  </si>
  <si>
    <t>数据长度</t>
  </si>
  <si>
    <r>
      <rPr>
        <sz val="11"/>
        <color rgb="FFFF0000"/>
        <rFont val="Times New Roman"/>
        <charset val="134"/>
      </rPr>
      <t>422</t>
    </r>
    <r>
      <rPr>
        <sz val="11"/>
        <color rgb="FFFF0000"/>
        <rFont val="宋体"/>
        <charset val="134"/>
      </rPr>
      <t>数据包</t>
    </r>
  </si>
  <si>
    <t>Uplink_Msg_21</t>
  </si>
  <si>
    <t>IRS2_R422TX_01</t>
  </si>
  <si>
    <r>
      <rPr>
        <sz val="11"/>
        <color rgb="FFFF0000"/>
        <rFont val="Times New Roman"/>
        <charset val="134"/>
      </rPr>
      <t>IRS</t>
    </r>
    <r>
      <rPr>
        <sz val="11"/>
        <color rgb="FFFF0000"/>
        <rFont val="宋体"/>
        <charset val="134"/>
      </rPr>
      <t>（惯性基准系统）</t>
    </r>
    <r>
      <rPr>
        <sz val="11"/>
        <color rgb="FFFF0000"/>
        <rFont val="Times New Roman"/>
        <charset val="134"/>
      </rPr>
      <t>2</t>
    </r>
  </si>
  <si>
    <t>Uplink_Msg_22</t>
  </si>
  <si>
    <t>IRS3_R422TX_01</t>
  </si>
  <si>
    <r>
      <rPr>
        <sz val="11"/>
        <color rgb="FFFF0000"/>
        <rFont val="Times New Roman"/>
        <charset val="134"/>
      </rPr>
      <t>IRS</t>
    </r>
    <r>
      <rPr>
        <sz val="11"/>
        <color rgb="FFFF0000"/>
        <rFont val="宋体"/>
        <charset val="134"/>
      </rPr>
      <t>（惯性基准系统）</t>
    </r>
    <r>
      <rPr>
        <sz val="11"/>
        <color rgb="FFFF0000"/>
        <rFont val="Times New Roman"/>
        <charset val="134"/>
      </rPr>
      <t>3</t>
    </r>
  </si>
  <si>
    <t>DIU4</t>
  </si>
  <si>
    <t>Uplink_Msg_23</t>
  </si>
  <si>
    <t>RA1_A429Tx_01_L164/L165</t>
  </si>
  <si>
    <r>
      <rPr>
        <sz val="11"/>
        <color theme="1"/>
        <rFont val="宋体"/>
        <charset val="134"/>
      </rPr>
      <t>无线电高度表</t>
    </r>
    <r>
      <rPr>
        <sz val="11"/>
        <color theme="1"/>
        <rFont val="Times New Roman"/>
        <charset val="134"/>
      </rPr>
      <t>(RA)</t>
    </r>
    <r>
      <rPr>
        <sz val="11"/>
        <color theme="1"/>
        <rFont val="宋体"/>
        <charset val="134"/>
      </rPr>
      <t>收发机</t>
    </r>
    <r>
      <rPr>
        <sz val="11"/>
        <color theme="1"/>
        <rFont val="Times New Roman"/>
        <charset val="134"/>
      </rPr>
      <t>1</t>
    </r>
  </si>
  <si>
    <t>L164</t>
  </si>
  <si>
    <t>L165</t>
  </si>
  <si>
    <t>Uplink_Msg_24</t>
  </si>
  <si>
    <t>RA1_A429Tx_01_L270</t>
  </si>
  <si>
    <t>L270</t>
  </si>
  <si>
    <t>Uplink_Msg_25</t>
  </si>
  <si>
    <t>RA1_A429Tx_01_L350</t>
  </si>
  <si>
    <t>Uplink_Msg_26</t>
  </si>
  <si>
    <t>RA2_A429Tx_01_L164/L165</t>
  </si>
  <si>
    <r>
      <rPr>
        <sz val="11"/>
        <color theme="1"/>
        <rFont val="宋体"/>
        <charset val="134"/>
      </rPr>
      <t>无线电高度表</t>
    </r>
    <r>
      <rPr>
        <sz val="11"/>
        <color theme="1"/>
        <rFont val="Times New Roman"/>
        <charset val="134"/>
      </rPr>
      <t>(RA)</t>
    </r>
    <r>
      <rPr>
        <sz val="11"/>
        <color theme="1"/>
        <rFont val="宋体"/>
        <charset val="134"/>
      </rPr>
      <t>收发机</t>
    </r>
    <r>
      <rPr>
        <sz val="11"/>
        <color theme="1"/>
        <rFont val="Times New Roman"/>
        <charset val="134"/>
      </rPr>
      <t>2</t>
    </r>
  </si>
  <si>
    <t>Uplink_Msg_27</t>
  </si>
  <si>
    <t>RA2_A429Tx_01_L270</t>
  </si>
  <si>
    <t>Uplink_Msg_28</t>
  </si>
  <si>
    <t>RA2_A429Tx_01_L350</t>
  </si>
  <si>
    <t>Uplink_Msg_29</t>
  </si>
  <si>
    <t>MCU_CANTx_0</t>
  </si>
  <si>
    <t>MCU</t>
  </si>
  <si>
    <t>CANTx_0</t>
  </si>
  <si>
    <t>DIU6</t>
  </si>
  <si>
    <r>
      <rPr>
        <sz val="11"/>
        <rFont val="宋体"/>
        <charset val="134"/>
      </rPr>
      <t>功能状态集</t>
    </r>
  </si>
  <si>
    <t>Mes_ID_0x00200210_CAN_FRAME</t>
  </si>
  <si>
    <t>扩展帧CAN消息</t>
  </si>
  <si>
    <t>Mes_ID_0x00200211_CAN_FRAME</t>
  </si>
  <si>
    <t>Mes_ID_0x00200212_CAN_FRAME</t>
  </si>
  <si>
    <t>Mes_ID_0x00200213_CAN_FRAME</t>
  </si>
  <si>
    <t>Mes_ID_0x00200214_CAN_FRAME</t>
  </si>
  <si>
    <t>Mes_ID_0x00200215_CAN_FRAME</t>
  </si>
  <si>
    <t>Mes_ID_0x00200216_CAN_FRAME</t>
  </si>
  <si>
    <t>Mes_ID_0x00200217_CAN_FRAME</t>
  </si>
  <si>
    <t>Mes_ID_0x00200218_CAN_FRAME</t>
  </si>
  <si>
    <t>Mes_ID_0x00200219_CAN_FRAME</t>
  </si>
  <si>
    <t>MCU_CANTx_1</t>
  </si>
  <si>
    <t>CANTx_1</t>
  </si>
  <si>
    <r>
      <rPr>
        <sz val="11"/>
        <rFont val="宋体"/>
        <charset val="134"/>
      </rPr>
      <t>协议填充</t>
    </r>
  </si>
  <si>
    <t>DIU5</t>
  </si>
  <si>
    <t>FCC</t>
  </si>
  <si>
    <t>239.100.128.1</t>
  </si>
  <si>
    <t>Mes_ID_0x00101001_CAN_FRAME</t>
  </si>
  <si>
    <t>Mes_ID_0x00101002_CAN_FRAME</t>
  </si>
  <si>
    <t>Mes_ID_0x00101003_CAN_FRAME</t>
  </si>
  <si>
    <t>Mes_ID_0x00101004_CAN_FRAME</t>
  </si>
  <si>
    <t>Mes_ID_0x00101005_CAN_FRAME</t>
  </si>
  <si>
    <t>Mes_ID_0x00102001_CAN_FRAME</t>
  </si>
  <si>
    <t>Mes_ID_0x00102002_CAN_FRAME</t>
  </si>
  <si>
    <t>Mes_ID_0x00102003_CAN_FRAME</t>
  </si>
  <si>
    <t>Mes_ID_0x00102004_CAN_FRAME</t>
  </si>
  <si>
    <t>Mes_ID_0x00102005_CAN_FRAME</t>
  </si>
  <si>
    <t>Mes_ID_0x00103001_CAN_FRAME</t>
  </si>
  <si>
    <t>Mes_ID_0x00103002_CAN_FRAME</t>
  </si>
  <si>
    <t>Mes_ID_0x00103003_CAN_FRAME</t>
  </si>
  <si>
    <t>Mes_ID_0x00103004_CAN_FRAME</t>
  </si>
  <si>
    <t>Mes_ID_0x00103005_CAN_FRAME</t>
  </si>
  <si>
    <t>Mes_ID_0x00200310_CAN_FRAME</t>
  </si>
  <si>
    <t>Mes_ID_0x00200311_CAN_FRAME</t>
  </si>
  <si>
    <t>Mes_ID_0x00200312_CAN_FRAME</t>
  </si>
  <si>
    <t>Mes_ID_0x00200313_CAN_FRAME</t>
  </si>
  <si>
    <t>Mes_ID_0x00200314_CAN_FRAME</t>
  </si>
  <si>
    <t>Mes_ID_0x00200315_CAN_FRAME</t>
  </si>
  <si>
    <t>Mes_ID_0x00200316_CAN_FRAME</t>
  </si>
  <si>
    <t>Mes_ID_0x00200317_CAN_FRAME</t>
  </si>
  <si>
    <t>Mes_ID_0x00200318_CAN_FRAME</t>
  </si>
  <si>
    <t>Mes_ID_0x00200319_CAN_FRAME</t>
  </si>
  <si>
    <t>Mes_ID_0x00200410_CAN_FRAME</t>
  </si>
  <si>
    <t>Mes_ID_0x00200411_CAN_FRAME</t>
  </si>
  <si>
    <t>Mes_ID_0x00200412_CAN_FRAME</t>
  </si>
  <si>
    <t>Mes_ID_0x00200413_CAN_FRAME</t>
  </si>
  <si>
    <t>Mes_ID_0x00200414_CAN_FRAME</t>
  </si>
  <si>
    <t>Mes_ID_0x00200415_CAN_FRAME</t>
  </si>
  <si>
    <t>Mes_ID_0x00200416_CAN_FRAME</t>
  </si>
  <si>
    <t>Mes_ID_0x00200417_CAN_FRAME</t>
  </si>
  <si>
    <t>Mes_ID_0x00200418_CAN_FRAME</t>
  </si>
  <si>
    <t>Mes_ID_0x00200419_CAN_FRAME</t>
  </si>
  <si>
    <t>Mes_ID_0x00200510_CAN_FRAME</t>
  </si>
  <si>
    <t>Mes_ID_0x00200511_CAN_FRAME</t>
  </si>
  <si>
    <t>Mes_ID_0x00200512_CAN_FRAME</t>
  </si>
  <si>
    <t>Mes_ID_0x00200513_CAN_FRAME</t>
  </si>
  <si>
    <t>Mes_ID_0x00200514_CAN_FRAME</t>
  </si>
  <si>
    <t>Mes_ID_0x00200515_CAN_FRAME</t>
  </si>
  <si>
    <t>Mes_ID_0x00200516_CAN_FRAME</t>
  </si>
  <si>
    <t>Mes_ID_0x00200517_CAN_FRAME</t>
  </si>
  <si>
    <t>Mes_ID_0x00200518_CAN_FRAME</t>
  </si>
  <si>
    <t>Mes_ID_0x00200519_CAN_FRAME</t>
  </si>
  <si>
    <t>Mes_ID_0x00200110_CAN_FRAME</t>
  </si>
  <si>
    <t>Mes_ID_0x00200111_CAN_FRAME</t>
  </si>
  <si>
    <t>Mes_ID_0x00200112_CAN_FRAME</t>
  </si>
  <si>
    <t>Mes_ID_0x00200113_CAN_FRAME</t>
  </si>
  <si>
    <t>Mes_ID_0x00200114_CAN_FRAME</t>
  </si>
  <si>
    <t>Mes_ID_0x00200115_CAN_FRAME</t>
  </si>
  <si>
    <t>Mes_ID_0x00200116_CAN_FRAME</t>
  </si>
  <si>
    <t>Mes_ID_0x00200117_CAN_FRAME</t>
  </si>
  <si>
    <t>Mes_ID_0x00200118_CAN_FRAME</t>
  </si>
  <si>
    <t>Mes_ID_0x00200119_CAN_FRAME</t>
  </si>
  <si>
    <t>Uplink_Msg_30</t>
  </si>
  <si>
    <t>RTK1_R422TX_01</t>
  </si>
  <si>
    <t>RTK1</t>
  </si>
  <si>
    <r>
      <rPr>
        <sz val="11"/>
        <color theme="1"/>
        <rFont val="Times New Roman"/>
        <charset val="134"/>
      </rPr>
      <t>422</t>
    </r>
    <r>
      <rPr>
        <sz val="11"/>
        <color theme="1"/>
        <rFont val="宋体"/>
        <charset val="134"/>
      </rPr>
      <t>数据包</t>
    </r>
  </si>
  <si>
    <t>Uplink_Msg_31</t>
  </si>
  <si>
    <t>RTK2_R422TX_01</t>
  </si>
  <si>
    <t>RTK2</t>
  </si>
  <si>
    <t>Uplink_Msg_32</t>
  </si>
  <si>
    <t>LS1_A429Tx_01</t>
  </si>
  <si>
    <t>转弯控制器</t>
  </si>
  <si>
    <t>239.100.6.1</t>
  </si>
  <si>
    <t>L111</t>
  </si>
  <si>
    <t>L112</t>
  </si>
  <si>
    <t>L113</t>
  </si>
  <si>
    <t>L114</t>
  </si>
  <si>
    <t>L154</t>
  </si>
  <si>
    <t>Uplink_Msg_33</t>
  </si>
  <si>
    <t>LS1_A429Tx_02</t>
  </si>
  <si>
    <t>A429Tx_02</t>
  </si>
  <si>
    <t>800VBMS_CANTx_0_01</t>
  </si>
  <si>
    <t>800V_BMS</t>
  </si>
  <si>
    <t>Mes_ID_0x18010011_CAN_FRAME</t>
  </si>
  <si>
    <t>Mes_ID_0x18010022_CAN_FRAME</t>
  </si>
  <si>
    <t>Mes_ID_0x18010033_CAN_FRAME</t>
  </si>
  <si>
    <t>Mes_ID_0x18010044_CAN_FRAME</t>
  </si>
  <si>
    <t>Mes_ID_0x18010055_CAN_FRAME</t>
  </si>
  <si>
    <t>Mes_ID_0x18010066_CAN_FRAME</t>
  </si>
  <si>
    <t>Mes_ID_0x18010077_CAN_FRAME</t>
  </si>
  <si>
    <t>Mes_ID_0x18010088_CAN_FRAME</t>
  </si>
  <si>
    <t>Mes_ID_0x18010099_CAN_FRAME</t>
  </si>
  <si>
    <t>Mes_ID_0x180100AA_CAN_FRAME</t>
  </si>
  <si>
    <t>800VBMS_CANTx_0_02</t>
  </si>
  <si>
    <t>Mes_ID_0x18020011_CAN_FRAME</t>
  </si>
  <si>
    <t>Mes_ID_0x18020022_CAN_FRAME</t>
  </si>
  <si>
    <t>Mes_ID_0x18020033_CAN_FRAME</t>
  </si>
  <si>
    <t>Mes_ID_0x18020044_CAN_FRAME</t>
  </si>
  <si>
    <t>Mes_ID_0x18020055_CAN_FRAME</t>
  </si>
  <si>
    <t>Mes_ID_0x18020066_CAN_FRAME</t>
  </si>
  <si>
    <t>Mes_ID_0x18020077_CAN_FRAME</t>
  </si>
  <si>
    <t>Mes_ID_0x18020088_CAN_FRAME</t>
  </si>
  <si>
    <t>Mes_ID_0x18020099_CAN_FRAME</t>
  </si>
  <si>
    <t>Mes_ID_0x180200AA_CAN_FRAME</t>
  </si>
  <si>
    <t>Mes_ID_0x18030011_CAN_FRAME</t>
  </si>
  <si>
    <t>Mes_ID_0x18030022_CAN_FRAME</t>
  </si>
  <si>
    <t>Mes_ID_0x18030033_CAN_FRAME</t>
  </si>
  <si>
    <t>Mes_ID_0x18030044_CAN_FRAME</t>
  </si>
  <si>
    <t>Mes_ID_0x18030055_CAN_FRAME</t>
  </si>
  <si>
    <t>Mes_ID_0x18030066_CAN_FRAME</t>
  </si>
  <si>
    <t>Mes_ID_0x18030077_CAN_FRAME</t>
  </si>
  <si>
    <t>Mes_ID_0x18030088_CAN_FRAME</t>
  </si>
  <si>
    <t>Mes_ID_0x18030099_CAN_FRAME</t>
  </si>
  <si>
    <t>Mes_ID_0x180300AA_CAN_FRAME</t>
  </si>
  <si>
    <t>Mes_ID_0x18E10022_CAN_FRAME</t>
  </si>
  <si>
    <t>Mes_ID_0x18E20022_CAN_FRAME</t>
  </si>
  <si>
    <t>Mes_ID_0x18E10044_CAN_FRAME</t>
  </si>
  <si>
    <t>Mes_ID_0x18E20044_CAN_FRAME</t>
  </si>
  <si>
    <t>Mes_ID_0x18E10066_CAN_FRAME</t>
  </si>
  <si>
    <t>Mes_ID_0x18E20066_CAN_FRAME</t>
  </si>
  <si>
    <t>Mes_ID_0x18E10088_CAN_FRAME</t>
  </si>
  <si>
    <t>Mes_ID_0x18E20088_CAN_FRAME</t>
  </si>
  <si>
    <t>Mes_ID_0x18E100AA_CAN_FRAME</t>
  </si>
  <si>
    <t>Mes_ID_0x18E200AA_CAN_FRAME</t>
  </si>
  <si>
    <t>Mes_ID_0x18F100FF_CAN_FRAME</t>
  </si>
  <si>
    <t>Uplink_Msg_57</t>
  </si>
  <si>
    <t>800VBMS_CANTx_0_03</t>
  </si>
  <si>
    <t>Mes_ID_0x18090011_CAN_FRAME</t>
  </si>
  <si>
    <t>Mes_ID_0x180A0011_CAN_FRAME</t>
  </si>
  <si>
    <t>Mes_ID_0x18090022_CAN_FRAME</t>
  </si>
  <si>
    <t>Mes_ID_0x180A0022_CAN_FRAME</t>
  </si>
  <si>
    <t>Mes_ID_0x18090033_CAN_FRAME</t>
  </si>
  <si>
    <t>Mes_ID_0x180A0033_CAN_FRAME</t>
  </si>
  <si>
    <t>Mes_ID_0x18090044_CAN_FRAME</t>
  </si>
  <si>
    <t>Mes_ID_0x180A0044_CAN_FRAME</t>
  </si>
  <si>
    <t>Mes_ID_0x18090055_CAN_FRAME</t>
  </si>
  <si>
    <t>Mes_ID_0x180A0055_CAN_FRAME</t>
  </si>
  <si>
    <t>Mes_ID_0x18090066_CAN_FRAME</t>
  </si>
  <si>
    <t>Mes_ID_0x180A0066_CAN_FRAME</t>
  </si>
  <si>
    <t>Mes_ID_0x18090077_CAN_FRAME</t>
  </si>
  <si>
    <t>Mes_ID_0x180A0077_CAN_FRAME</t>
  </si>
  <si>
    <t>Mes_ID_0x18090088_CAN_FRAME</t>
  </si>
  <si>
    <t>Mes_ID_0x180A0088_CAN_FRAME</t>
  </si>
  <si>
    <t>Mes_ID_0x18090099_CAN_FRAME</t>
  </si>
  <si>
    <t>Mes_ID_0x180A0099_CAN_FRAME</t>
  </si>
  <si>
    <t>Mes_ID_0x180900AA_CAN_FRAME</t>
  </si>
  <si>
    <t>Mes_ID_0x180A00AA_CAN_FRAME</t>
  </si>
  <si>
    <t>Mes_ID_0x180B0011_CAN_FRAME</t>
  </si>
  <si>
    <t>Mes_ID_0x180C0011_CAN_FRAME</t>
  </si>
  <si>
    <t>Mes_ID_0x180B0022_CAN_FRAME</t>
  </si>
  <si>
    <t>Mes_ID_0x180C0022_CAN_FRAME</t>
  </si>
  <si>
    <t>Mes_ID_0x180B0033_CAN_FRAME</t>
  </si>
  <si>
    <t>Mes_ID_0x180C0033_CAN_FRAME</t>
  </si>
  <si>
    <t>Mes_ID_0x180B0044_CAN_FRAME</t>
  </si>
  <si>
    <t>Mes_ID_0x180C0044_CAN_FRAME</t>
  </si>
  <si>
    <t>Mes_ID_0x180B0055_CAN_FRAME</t>
  </si>
  <si>
    <t>Mes_ID_0x180C0055_CAN_FRAME</t>
  </si>
  <si>
    <t>Mes_ID_0x180B0066_CAN_FRAME</t>
  </si>
  <si>
    <t>Mes_ID_0x180C0066_CAN_FRAME</t>
  </si>
  <si>
    <t>Mes_ID_0x180B0077_CAN_FRAME</t>
  </si>
  <si>
    <t>Mes_ID_0x180C0077_CAN_FRAME</t>
  </si>
  <si>
    <t>Mes_ID_0x180B0088_CAN_FRAME</t>
  </si>
  <si>
    <t>Mes_ID_0x180C0088_CAN_FRAME</t>
  </si>
  <si>
    <t>Mes_ID_0x180B0099_CAN_FRAME</t>
  </si>
  <si>
    <t>Mes_ID_0x180C0099_CAN_FRAME</t>
  </si>
  <si>
    <t>Mes_ID_0x180B00AA_CAN_FRAME</t>
  </si>
  <si>
    <t>Mes_ID_0x180C00AA_CAN_FRAME</t>
  </si>
  <si>
    <t>800VBMS_CANTx_0_04</t>
  </si>
  <si>
    <t>Mes_ID_0x18220011_CAN_FRAME</t>
  </si>
  <si>
    <t>Mes_ID_0x18220022_CAN_FRAME</t>
  </si>
  <si>
    <t>Mes_ID_0x18220033_CAN_FRAME</t>
  </si>
  <si>
    <t>Mes_ID_0x18220044_CAN_FRAME</t>
  </si>
  <si>
    <t>Mes_ID_0x18220055_CAN_FRAME</t>
  </si>
  <si>
    <t>Mes_ID_0x18220066_CAN_FRAME</t>
  </si>
  <si>
    <t>Mes_ID_0x18220077_CAN_FRAME</t>
  </si>
  <si>
    <t>Mes_ID_0x18220088_CAN_FRAME</t>
  </si>
  <si>
    <t>Mes_ID_0x18220099_CAN_FRAME</t>
  </si>
  <si>
    <t>Mes_ID_0x182200AA_CAN_FRAME</t>
  </si>
  <si>
    <t>800VBMS_CANTx_1_01</t>
  </si>
  <si>
    <t>Uplink_Msg_58</t>
  </si>
  <si>
    <t>800VBMS_CANTx_1_02</t>
  </si>
  <si>
    <t>Uplink_Msg_39</t>
  </si>
  <si>
    <t>800VBMS_CANTx_1_03</t>
  </si>
  <si>
    <t>Uplink_Msg_40</t>
  </si>
  <si>
    <t>800VBMS_CANTx_1_04</t>
  </si>
  <si>
    <r>
      <rPr>
        <sz val="11"/>
        <color theme="1"/>
        <rFont val="Times New Roman"/>
        <charset val="134"/>
      </rPr>
      <t>800VBMS_CANTx_</t>
    </r>
    <r>
      <rPr>
        <sz val="11"/>
        <color theme="1"/>
        <rFont val="宋体"/>
        <charset val="134"/>
      </rPr>
      <t>维护</t>
    </r>
    <r>
      <rPr>
        <sz val="11"/>
        <color theme="1"/>
        <rFont val="Times New Roman"/>
        <charset val="134"/>
      </rPr>
      <t>_01</t>
    </r>
  </si>
  <si>
    <r>
      <rPr>
        <sz val="11"/>
        <color theme="1"/>
        <rFont val="Times New Roman"/>
        <charset val="134"/>
      </rPr>
      <t>CANTx_</t>
    </r>
    <r>
      <rPr>
        <sz val="11"/>
        <color theme="1"/>
        <rFont val="宋体"/>
        <charset val="134"/>
      </rPr>
      <t>维护</t>
    </r>
  </si>
  <si>
    <t>Mes_ID_0x18040022_CAN_FRAME</t>
  </si>
  <si>
    <t>Mes_ID_0x18050022_CAN_FRAME</t>
  </si>
  <si>
    <t>Mes_ID_0x18060022_CAN_FRAME</t>
  </si>
  <si>
    <t>Mes_ID_0x18070022_CAN_FRAME</t>
  </si>
  <si>
    <t>Mes_ID_0x18080022_CAN_FRAME</t>
  </si>
  <si>
    <t>Mes_ID_0x18040044_CAN_FRAME</t>
  </si>
  <si>
    <t>Mes_ID_0x18050044_CAN_FRAME</t>
  </si>
  <si>
    <t>Mes_ID_0x18060044_CAN_FRAME</t>
  </si>
  <si>
    <t>Mes_ID_0x18070044_CAN_FRAME</t>
  </si>
  <si>
    <t>Mes_ID_0x18080044_CAN_FRAME</t>
  </si>
  <si>
    <t>Mes_ID_0x18040066_CAN_FRAME</t>
  </si>
  <si>
    <t>Mes_ID_0x18050066_CAN_FRAME</t>
  </si>
  <si>
    <t>Mes_ID_0x18060066_CAN_FRAME</t>
  </si>
  <si>
    <t>Mes_ID_0x18070066_CAN_FRAME</t>
  </si>
  <si>
    <t>Mes_ID_0x18080066_CAN_FRAME</t>
  </si>
  <si>
    <t>Mes_ID_0x18040088_CAN_FRAME</t>
  </si>
  <si>
    <t>Mes_ID_0x18050088_CAN_FRAME</t>
  </si>
  <si>
    <t>Mes_ID_0x18060088_CAN_FRAME</t>
  </si>
  <si>
    <t>Mes_ID_0x18070088_CAN_FRAME</t>
  </si>
  <si>
    <t>Mes_ID_0x18080088_CAN_FRAME</t>
  </si>
  <si>
    <t>Mes_ID_0x180400AA_CAN_FRAME</t>
  </si>
  <si>
    <t>Mes_ID_0x180500AA_CAN_FRAME</t>
  </si>
  <si>
    <t>Mes_ID_0x180600AA_CAN_FRAME</t>
  </si>
  <si>
    <t>Mes_ID_0x180700AA_CAN_FRAME</t>
  </si>
  <si>
    <t>Mes_ID_0x180800AA_CAN_FRAME</t>
  </si>
  <si>
    <r>
      <rPr>
        <sz val="11"/>
        <color theme="1"/>
        <rFont val="Times New Roman"/>
        <charset val="134"/>
      </rPr>
      <t>800VBMS_CANTx_</t>
    </r>
    <r>
      <rPr>
        <sz val="11"/>
        <color theme="1"/>
        <rFont val="宋体"/>
        <charset val="134"/>
      </rPr>
      <t>维护</t>
    </r>
    <r>
      <rPr>
        <sz val="11"/>
        <color theme="1"/>
        <rFont val="Times New Roman"/>
        <charset val="134"/>
      </rPr>
      <t>_02</t>
    </r>
  </si>
  <si>
    <t>Mes_ID_0x180D0022_CAN_FRAME</t>
  </si>
  <si>
    <t>Mes_ID_0x18210022_CAN_FRAME</t>
  </si>
  <si>
    <t>Mes_ID_0x18300022_CAN_FRAME</t>
  </si>
  <si>
    <t>Mes_ID_0x18310022_CAN_FRAME</t>
  </si>
  <si>
    <t>Mes_ID_0x18320022_CAN_FRAME</t>
  </si>
  <si>
    <t>Mes_ID_0x18330022_CAN_FRAME</t>
  </si>
  <si>
    <t>Mes_ID_0x18340022_CAN_FRAME</t>
  </si>
  <si>
    <t>Mes_ID_0x18350022_CAN_FRAME</t>
  </si>
  <si>
    <t>Mes_ID_0x18360022_CAN_FRAME</t>
  </si>
  <si>
    <t>Mes_ID_0x18370022_CAN_FRAME</t>
  </si>
  <si>
    <t>Mes_ID_0x18380022_CAN_FRAME</t>
  </si>
  <si>
    <t>Mes_ID_0x18390022_CAN_FRAME</t>
  </si>
  <si>
    <t>Mes_ID_0x183A0022_CAN_FRAME</t>
  </si>
  <si>
    <t>Mes_ID_0x183B0022_CAN_FRAME</t>
  </si>
  <si>
    <t>Mes_ID_0x183C0022_CAN_FRAME</t>
  </si>
  <si>
    <t>Mes_ID_0x183D0022_CAN_FRAME</t>
  </si>
  <si>
    <t>Mes_ID_0x183E0022_CAN_FRAME</t>
  </si>
  <si>
    <t>Mes_ID_0x18410022_CAN_FRAME</t>
  </si>
  <si>
    <t>Mes_ID_0x18420022_CAN_FRAME</t>
  </si>
  <si>
    <t>Mes_ID_0x18430022_CAN_FRAME</t>
  </si>
  <si>
    <t>Mes_ID_0x18440022_CAN_FRAME</t>
  </si>
  <si>
    <t>Mes_ID_0x18450022_CAN_FRAME</t>
  </si>
  <si>
    <t>Mes_ID_0x18460022_CAN_FRAME</t>
  </si>
  <si>
    <t>Mes_ID_0x18470022_CAN_FRAME</t>
  </si>
  <si>
    <t>Mes_ID_0x18480022_CAN_FRAME</t>
  </si>
  <si>
    <t>Mes_ID_0x18490022_CAN_FRAME</t>
  </si>
  <si>
    <t>Mes_ID_0x184A0022_CAN_FRAME</t>
  </si>
  <si>
    <t>Mes_ID_0x184B0022_CAN_FRAME</t>
  </si>
  <si>
    <t>Mes_ID_0x184C0022_CAN_FRAME</t>
  </si>
  <si>
    <t>Mes_ID_0x184D0022_CAN_FRAME</t>
  </si>
  <si>
    <t>Mes_ID_0x184E0022_CAN_FRAME</t>
  </si>
  <si>
    <t>Mes_ID_0x184F0022_CAN_FRAME</t>
  </si>
  <si>
    <t/>
  </si>
  <si>
    <t>Mes_ID_0x18500022_CAN_FRAME</t>
  </si>
  <si>
    <t>Mes_ID_0x18510022_CAN_FRAME</t>
  </si>
  <si>
    <t>Mes_ID_0x18520022_CAN_FRAME</t>
  </si>
  <si>
    <t>Mes_ID_0x18530022_CAN_FRAME</t>
  </si>
  <si>
    <t>Mes_ID_0x18540022_CAN_FRAME</t>
  </si>
  <si>
    <t>Mes_ID_0x18550022_CAN_FRAME</t>
  </si>
  <si>
    <t>Mes_ID_0x18560022_CAN_FRAME</t>
  </si>
  <si>
    <t>Mes_ID_0x18570022_CAN_FRAME</t>
  </si>
  <si>
    <t>Mes_ID_0x18580022_CAN_FRAME</t>
  </si>
  <si>
    <t>Mes_ID_0x18590022_CAN_FRAME</t>
  </si>
  <si>
    <t>Mes_ID_0x185A0022_CAN_FRAME</t>
  </si>
  <si>
    <t>Mes_ID_0x185B0022_CAN_FRAME</t>
  </si>
  <si>
    <t>Mes_ID_0x185C0022_CAN_FRAME</t>
  </si>
  <si>
    <t>Mes_ID_0x185D0022_CAN_FRAME</t>
  </si>
  <si>
    <t>Mes_ID_0x185E0022_CAN_FRAME</t>
  </si>
  <si>
    <t>Mes_ID_0x185F0022_CAN_FRAME</t>
  </si>
  <si>
    <t>Mes_ID_0x18600022_CAN_FRAME</t>
  </si>
  <si>
    <t>Mes_ID_0x18610022_CAN_FRAME</t>
  </si>
  <si>
    <t>Mes_ID_0x18620022_CAN_FRAME</t>
  </si>
  <si>
    <t>Mes_ID_0x18630022_CAN_FRAME</t>
  </si>
  <si>
    <t>Mes_ID_0x18640022_CAN_FRAME</t>
  </si>
  <si>
    <t>Mes_ID_0x18650022_CAN_FRAME</t>
  </si>
  <si>
    <t>Mes_ID_0x18660022_CAN_FRAME</t>
  </si>
  <si>
    <t>Mes_ID_0x18670022_CAN_FRAME</t>
  </si>
  <si>
    <t>Mes_ID_0x18680022_CAN_FRAME</t>
  </si>
  <si>
    <t>Mes_ID_0x18690022_CAN_FRAME</t>
  </si>
  <si>
    <t>Mes_ID_0x186A0022_CAN_FRAME</t>
  </si>
  <si>
    <t>Mes_ID_0x186B0022_CAN_FRAME</t>
  </si>
  <si>
    <t>Mes_ID_0x186C0022_CAN_FRAME</t>
  </si>
  <si>
    <t>Mes_ID_0x186D0022_CAN_FRAME</t>
  </si>
  <si>
    <t>Mes_ID_0x186E0022_CAN_FRAME</t>
  </si>
  <si>
    <t>Mes_ID_0x186F0022_CAN_FRAME</t>
  </si>
  <si>
    <t>Mes_ID_0x18700022_CAN_FRAME</t>
  </si>
  <si>
    <t>Uplink_Msg_59</t>
  </si>
  <si>
    <r>
      <rPr>
        <sz val="11"/>
        <color theme="1"/>
        <rFont val="Times New Roman"/>
        <charset val="134"/>
      </rPr>
      <t>800VBMS_CANTx_</t>
    </r>
    <r>
      <rPr>
        <sz val="11"/>
        <color theme="1"/>
        <rFont val="宋体"/>
        <charset val="134"/>
      </rPr>
      <t>维护</t>
    </r>
    <r>
      <rPr>
        <sz val="11"/>
        <color theme="1"/>
        <rFont val="Times New Roman"/>
        <charset val="134"/>
      </rPr>
      <t>_03</t>
    </r>
  </si>
  <si>
    <t>Mes_ID_0x18800022_CAN_FRAME</t>
  </si>
  <si>
    <t>Mes_ID_0x18810022_CAN_FRAME</t>
  </si>
  <si>
    <t>Mes_ID_0x18820022_CAN_FRAME</t>
  </si>
  <si>
    <t>Mes_ID_0x18830022_CAN_FRAME</t>
  </si>
  <si>
    <t>Mes_ID_0x18840022_CAN_FRAME</t>
  </si>
  <si>
    <t>Mes_ID_0x18850022_CAN_FRAME</t>
  </si>
  <si>
    <t>Mes_ID_0x18860022_CAN_FRAME</t>
  </si>
  <si>
    <t>Mes_ID_0x18870022_CAN_FRAME</t>
  </si>
  <si>
    <t>Mes_ID_0x18880022_CAN_FRAME</t>
  </si>
  <si>
    <t>Mes_ID_0x18890022_CAN_FRAME</t>
  </si>
  <si>
    <t>Mes_ID_0x188A0022_CAN_FRAME</t>
  </si>
  <si>
    <t>Mes_ID_0x188B0022_CAN_FRAME</t>
  </si>
  <si>
    <t>Mes_ID_0x188C0022_CAN_FRAME</t>
  </si>
  <si>
    <t>Mes_ID_0x188D0022_CAN_FRAME</t>
  </si>
  <si>
    <t>Mes_ID_0x188E0022_CAN_FRAME</t>
  </si>
  <si>
    <t>Mes_ID_0x188F0022_CAN_FRAME</t>
  </si>
  <si>
    <t>Mes_ID_0x18900022_CAN_FRAME</t>
  </si>
  <si>
    <t>Mes_ID_0x18910022_CAN_FRAME</t>
  </si>
  <si>
    <t>Mes_ID_0x18920022_CAN_FRAME</t>
  </si>
  <si>
    <t>Mes_ID_0x18930022_CAN_FRAME</t>
  </si>
  <si>
    <t>Mes_ID_0x18940022_CAN_FRAME</t>
  </si>
  <si>
    <t>Mes_ID_0x18950022_CAN_FRAME</t>
  </si>
  <si>
    <t>Mes_ID_0x18960022_CAN_FRAME</t>
  </si>
  <si>
    <t>Mes_ID_0x18970022_CAN_FRAME</t>
  </si>
  <si>
    <t>Mes_ID_0x18980022_CAN_FRAME</t>
  </si>
  <si>
    <t>Mes_ID_0x18990022_CAN_FRAME</t>
  </si>
  <si>
    <t>Mes_ID_0x189A0022_CAN_FRAME</t>
  </si>
  <si>
    <t>Mes_ID_0x189B0022_CAN_FRAME</t>
  </si>
  <si>
    <t>Mes_ID_0x189C0022_CAN_FRAME</t>
  </si>
  <si>
    <t>Mes_ID_0x189D0022_CAN_FRAME</t>
  </si>
  <si>
    <t>Mes_ID_0x189E0022_CAN_FRAME</t>
  </si>
  <si>
    <t>Mes_ID_0x189F0022_CAN_FRAME</t>
  </si>
  <si>
    <t>Mes_ID_0x18A00022_CAN_FRAME</t>
  </si>
  <si>
    <t>Mes_ID_0x18A10022_CAN_FRAME</t>
  </si>
  <si>
    <t>Mes_ID_0x18A20022_CAN_FRAME</t>
  </si>
  <si>
    <t>Mes_ID_0x18A30022_CAN_FRAME</t>
  </si>
  <si>
    <t>Mes_ID_0x18A40022_CAN_FRAME</t>
  </si>
  <si>
    <t>Mes_ID_0x18A50022_CAN_FRAME</t>
  </si>
  <si>
    <t>Mes_ID_0x18A60022_CAN_FRAME</t>
  </si>
  <si>
    <r>
      <rPr>
        <sz val="11"/>
        <color theme="1"/>
        <rFont val="Times New Roman"/>
        <charset val="134"/>
      </rPr>
      <t>800VBMS_CANTx_</t>
    </r>
    <r>
      <rPr>
        <sz val="11"/>
        <color theme="1"/>
        <rFont val="宋体"/>
        <charset val="134"/>
      </rPr>
      <t>维护</t>
    </r>
    <r>
      <rPr>
        <sz val="11"/>
        <color theme="1"/>
        <rFont val="Times New Roman"/>
        <charset val="134"/>
      </rPr>
      <t>_04</t>
    </r>
  </si>
  <si>
    <t>Mes_ID_0x180D0044_CAN_FRAME</t>
  </si>
  <si>
    <t>Mes_ID_0x18210044_CAN_FRAME</t>
  </si>
  <si>
    <t>Mes_ID_0x18300044_CAN_FRAME</t>
  </si>
  <si>
    <t>Mes_ID_0x18310044_CAN_FRAME</t>
  </si>
  <si>
    <t>Mes_ID_0x18320044_CAN_FRAME</t>
  </si>
  <si>
    <t>Mes_ID_0x18330044_CAN_FRAME</t>
  </si>
  <si>
    <t>Mes_ID_0x18340044_CAN_FRAME</t>
  </si>
  <si>
    <t>Mes_ID_0x18350044_CAN_FRAME</t>
  </si>
  <si>
    <t>Mes_ID_0x18360044_CAN_FRAME</t>
  </si>
  <si>
    <t>Mes_ID_0x18370044_CAN_FRAME</t>
  </si>
  <si>
    <t>Mes_ID_0x18380044_CAN_FRAME</t>
  </si>
  <si>
    <t>Mes_ID_0x18390044_CAN_FRAME</t>
  </si>
  <si>
    <t>Mes_ID_0x183A0044_CAN_FRAME</t>
  </si>
  <si>
    <t>Mes_ID_0x183B0044_CAN_FRAME</t>
  </si>
  <si>
    <t>Mes_ID_0x183C0044_CAN_FRAME</t>
  </si>
  <si>
    <t>Mes_ID_0x183D0044_CAN_FRAME</t>
  </si>
  <si>
    <t>Mes_ID_0x183E0044_CAN_FRAME</t>
  </si>
  <si>
    <t>Mes_ID_0x18410044_CAN_FRAME</t>
  </si>
  <si>
    <t>Mes_ID_0x18420044_CAN_FRAME</t>
  </si>
  <si>
    <t>Mes_ID_0x18430044_CAN_FRAME</t>
  </si>
  <si>
    <t>Mes_ID_0x18440044_CAN_FRAME</t>
  </si>
  <si>
    <t>Mes_ID_0x18450044_CAN_FRAME</t>
  </si>
  <si>
    <t>Mes_ID_0x18460044_CAN_FRAME</t>
  </si>
  <si>
    <t>Mes_ID_0x18470044_CAN_FRAME</t>
  </si>
  <si>
    <t>Mes_ID_0x18480044_CAN_FRAME</t>
  </si>
  <si>
    <t>Mes_ID_0x18490044_CAN_FRAME</t>
  </si>
  <si>
    <t>Mes_ID_0x184A0044_CAN_FRAME</t>
  </si>
  <si>
    <t>Mes_ID_0x184B0044_CAN_FRAME</t>
  </si>
  <si>
    <t>Mes_ID_0x184C0044_CAN_FRAME</t>
  </si>
  <si>
    <t>Mes_ID_0x184D0044_CAN_FRAME</t>
  </si>
  <si>
    <t>Mes_ID_0x184E0044_CAN_FRAME</t>
  </si>
  <si>
    <t>Mes_ID_0x184F0044_CAN_FRAME</t>
  </si>
  <si>
    <t>Mes_ID_0x18500044_CAN_FRAME</t>
  </si>
  <si>
    <t>Mes_ID_0x18510044_CAN_FRAME</t>
  </si>
  <si>
    <t>Mes_ID_0x18520044_CAN_FRAME</t>
  </si>
  <si>
    <t>Mes_ID_0x18530044_CAN_FRAME</t>
  </si>
  <si>
    <t>Mes_ID_0x18540044_CAN_FRAME</t>
  </si>
  <si>
    <t>Mes_ID_0x18550044_CAN_FRAME</t>
  </si>
  <si>
    <t>Mes_ID_0x18560044_CAN_FRAME</t>
  </si>
  <si>
    <t>Mes_ID_0x18570044_CAN_FRAME</t>
  </si>
  <si>
    <t>Mes_ID_0x18580044_CAN_FRAME</t>
  </si>
  <si>
    <t>Mes_ID_0x18590044_CAN_FRAME</t>
  </si>
  <si>
    <t>Mes_ID_0x185A0044_CAN_FRAME</t>
  </si>
  <si>
    <t>Mes_ID_0x185B0044_CAN_FRAME</t>
  </si>
  <si>
    <t>Mes_ID_0x185C0044_CAN_FRAME</t>
  </si>
  <si>
    <t>Mes_ID_0x185D0044_CAN_FRAME</t>
  </si>
  <si>
    <t>Mes_ID_0x185E0044_CAN_FRAME</t>
  </si>
  <si>
    <t>Mes_ID_0x185F0044_CAN_FRAME</t>
  </si>
  <si>
    <t>Mes_ID_0x18600044_CAN_FRAME</t>
  </si>
  <si>
    <t>Mes_ID_0x18610044_CAN_FRAME</t>
  </si>
  <si>
    <t>Mes_ID_0x18620044_CAN_FRAME</t>
  </si>
  <si>
    <t>Mes_ID_0x18630044_CAN_FRAME</t>
  </si>
  <si>
    <t>Mes_ID_0x18640044_CAN_FRAME</t>
  </si>
  <si>
    <t>Mes_ID_0x18650044_CAN_FRAME</t>
  </si>
  <si>
    <t>Mes_ID_0x18660044_CAN_FRAME</t>
  </si>
  <si>
    <t>Mes_ID_0x18670044_CAN_FRAME</t>
  </si>
  <si>
    <t>Mes_ID_0x18680044_CAN_FRAME</t>
  </si>
  <si>
    <t>Mes_ID_0x18690044_CAN_FRAME</t>
  </si>
  <si>
    <t>Mes_ID_0x186A0044_CAN_FRAME</t>
  </si>
  <si>
    <t>Mes_ID_0x186B0044_CAN_FRAME</t>
  </si>
  <si>
    <t>Mes_ID_0x186C0044_CAN_FRAME</t>
  </si>
  <si>
    <t>Mes_ID_0x186D0044_CAN_FRAME</t>
  </si>
  <si>
    <t>Mes_ID_0x186E0044_CAN_FRAME</t>
  </si>
  <si>
    <t>Mes_ID_0x186F0044_CAN_FRAME</t>
  </si>
  <si>
    <t>Mes_ID_0x18700044_CAN_FRAME</t>
  </si>
  <si>
    <r>
      <rPr>
        <sz val="11"/>
        <color theme="1"/>
        <rFont val="Times New Roman"/>
        <charset val="134"/>
      </rPr>
      <t>800VBMS_CANTx_</t>
    </r>
    <r>
      <rPr>
        <sz val="11"/>
        <color theme="1"/>
        <rFont val="宋体"/>
        <charset val="134"/>
      </rPr>
      <t>维护</t>
    </r>
    <r>
      <rPr>
        <sz val="11"/>
        <color theme="1"/>
        <rFont val="Times New Roman"/>
        <charset val="134"/>
      </rPr>
      <t>_05</t>
    </r>
  </si>
  <si>
    <t>Mes_ID_0x18800044_CAN_FRAME</t>
  </si>
  <si>
    <t>Mes_ID_0x18810044_CAN_FRAME</t>
  </si>
  <si>
    <t>Mes_ID_0x18820044_CAN_FRAME</t>
  </si>
  <si>
    <t>Mes_ID_0x18830044_CAN_FRAME</t>
  </si>
  <si>
    <t>Mes_ID_0x18840044_CAN_FRAME</t>
  </si>
  <si>
    <t>Mes_ID_0x18850044_CAN_FRAME</t>
  </si>
  <si>
    <t>Mes_ID_0x18860044_CAN_FRAME</t>
  </si>
  <si>
    <t>Mes_ID_0x18870044_CAN_FRAME</t>
  </si>
  <si>
    <t>Mes_ID_0x18880044_CAN_FRAME</t>
  </si>
  <si>
    <t>Mes_ID_0x18890044_CAN_FRAME</t>
  </si>
  <si>
    <t>Mes_ID_0x188A0044_CAN_FRAME</t>
  </si>
  <si>
    <t>Mes_ID_0x188B0044_CAN_FRAME</t>
  </si>
  <si>
    <t>Mes_ID_0x188C0044_CAN_FRAME</t>
  </si>
  <si>
    <t>Mes_ID_0x188D0044_CAN_FRAME</t>
  </si>
  <si>
    <t>Mes_ID_0x188E0044_CAN_FRAME</t>
  </si>
  <si>
    <t>Mes_ID_0x188F0044_CAN_FRAME</t>
  </si>
  <si>
    <t>Mes_ID_0x18900044_CAN_FRAME</t>
  </si>
  <si>
    <t>Mes_ID_0x18910044_CAN_FRAME</t>
  </si>
  <si>
    <t>Mes_ID_0x18920044_CAN_FRAME</t>
  </si>
  <si>
    <t>Mes_ID_0x18930044_CAN_FRAME</t>
  </si>
  <si>
    <t>Mes_ID_0x18940044_CAN_FRAME</t>
  </si>
  <si>
    <t>Mes_ID_0x18950044_CAN_FRAME</t>
  </si>
  <si>
    <t>Mes_ID_0x18960044_CAN_FRAME</t>
  </si>
  <si>
    <t>Mes_ID_0x18970044_CAN_FRAME</t>
  </si>
  <si>
    <t>Mes_ID_0x18980044_CAN_FRAME</t>
  </si>
  <si>
    <t>Mes_ID_0x18990044_CAN_FRAME</t>
  </si>
  <si>
    <t>Mes_ID_0x189A0044_CAN_FRAME</t>
  </si>
  <si>
    <t>Mes_ID_0x189B0044_CAN_FRAME</t>
  </si>
  <si>
    <t>Mes_ID_0x189C0044_CAN_FRAME</t>
  </si>
  <si>
    <t>Mes_ID_0x189D0044_CAN_FRAME</t>
  </si>
  <si>
    <t>Mes_ID_0x189E0044_CAN_FRAME</t>
  </si>
  <si>
    <t>Mes_ID_0x189F0044_CAN_FRAME</t>
  </si>
  <si>
    <t>Mes_ID_0x18A00044_CAN_FRAME</t>
  </si>
  <si>
    <t>Mes_ID_0x18A10044_CAN_FRAME</t>
  </si>
  <si>
    <t>Mes_ID_0x18A20044_CAN_FRAME</t>
  </si>
  <si>
    <t>Mes_ID_0x18A30044_CAN_FRAME</t>
  </si>
  <si>
    <t>Mes_ID_0x18A40044_CAN_FRAME</t>
  </si>
  <si>
    <t>Mes_ID_0x18A50044_CAN_FRAME</t>
  </si>
  <si>
    <t>Mes_ID_0x18A60044_CAN_FRAME</t>
  </si>
  <si>
    <r>
      <rPr>
        <sz val="11"/>
        <color theme="1"/>
        <rFont val="Times New Roman"/>
        <charset val="134"/>
      </rPr>
      <t>800VBMS_CANTx_</t>
    </r>
    <r>
      <rPr>
        <sz val="11"/>
        <color theme="1"/>
        <rFont val="宋体"/>
        <charset val="134"/>
      </rPr>
      <t>维护</t>
    </r>
    <r>
      <rPr>
        <sz val="11"/>
        <color theme="1"/>
        <rFont val="Times New Roman"/>
        <charset val="134"/>
      </rPr>
      <t>_06</t>
    </r>
  </si>
  <si>
    <t>Mes_ID_0x180D0066_CAN_FRAME</t>
  </si>
  <si>
    <t>Mes_ID_0x18210066_CAN_FRAME</t>
  </si>
  <si>
    <t>Mes_ID_0x18300066_CAN_FRAME</t>
  </si>
  <si>
    <t>Mes_ID_0x18310066_CAN_FRAME</t>
  </si>
  <si>
    <t>Mes_ID_0x18320066_CAN_FRAME</t>
  </si>
  <si>
    <t>Mes_ID_0x18330066_CAN_FRAME</t>
  </si>
  <si>
    <t>Mes_ID_0x18340066_CAN_FRAME</t>
  </si>
  <si>
    <t>Mes_ID_0x18350066_CAN_FRAME</t>
  </si>
  <si>
    <t>Mes_ID_0x18360066_CAN_FRAME</t>
  </si>
  <si>
    <t>Mes_ID_0x18370066_CAN_FRAME</t>
  </si>
  <si>
    <t>Mes_ID_0x18380066_CAN_FRAME</t>
  </si>
  <si>
    <t>Mes_ID_0x18390066_CAN_FRAME</t>
  </si>
  <si>
    <t>Mes_ID_0x183A0066_CAN_FRAME</t>
  </si>
  <si>
    <t>Mes_ID_0x183B0066_CAN_FRAME</t>
  </si>
  <si>
    <t>Mes_ID_0x183C0066_CAN_FRAME</t>
  </si>
  <si>
    <t>Mes_ID_0x183D0066_CAN_FRAME</t>
  </si>
  <si>
    <t>Mes_ID_0x183E0066_CAN_FRAME</t>
  </si>
  <si>
    <t>Mes_ID_0x18410066_CAN_FRAME</t>
  </si>
  <si>
    <t>Mes_ID_0x18420066_CAN_FRAME</t>
  </si>
  <si>
    <t>Mes_ID_0x18430066_CAN_FRAME</t>
  </si>
  <si>
    <t>Mes_ID_0x18440066_CAN_FRAME</t>
  </si>
  <si>
    <t>Mes_ID_0x18450066_CAN_FRAME</t>
  </si>
  <si>
    <t>Mes_ID_0x18460066_CAN_FRAME</t>
  </si>
  <si>
    <t>Mes_ID_0x18470066_CAN_FRAME</t>
  </si>
  <si>
    <t>Mes_ID_0x18480066_CAN_FRAME</t>
  </si>
  <si>
    <t>Mes_ID_0x18490066_CAN_FRAME</t>
  </si>
  <si>
    <t>Mes_ID_0x184A0066_CAN_FRAME</t>
  </si>
  <si>
    <t>Mes_ID_0x184B0066_CAN_FRAME</t>
  </si>
  <si>
    <t>Mes_ID_0x184C0066_CAN_FRAME</t>
  </si>
  <si>
    <t>Mes_ID_0x184D0066_CAN_FRAME</t>
  </si>
  <si>
    <t>Mes_ID_0x184E0066_CAN_FRAME</t>
  </si>
  <si>
    <t>Mes_ID_0x184F0066_CAN_FRAME</t>
  </si>
  <si>
    <t>Mes_ID_0x18500066_CAN_FRAME</t>
  </si>
  <si>
    <t>Mes_ID_0x18510066_CAN_FRAME</t>
  </si>
  <si>
    <t>Mes_ID_0x18520066_CAN_FRAME</t>
  </si>
  <si>
    <t>Mes_ID_0x18530066_CAN_FRAME</t>
  </si>
  <si>
    <t>Mes_ID_0x18540066_CAN_FRAME</t>
  </si>
  <si>
    <t>Mes_ID_0x18550066_CAN_FRAME</t>
  </si>
  <si>
    <t>Mes_ID_0x18560066_CAN_FRAME</t>
  </si>
  <si>
    <t>Mes_ID_0x18570066_CAN_FRAME</t>
  </si>
  <si>
    <t>Mes_ID_0x18580066_CAN_FRAME</t>
  </si>
  <si>
    <t>Mes_ID_0x18590066_CAN_FRAME</t>
  </si>
  <si>
    <t>Mes_ID_0x185A0066_CAN_FRAME</t>
  </si>
  <si>
    <t>Mes_ID_0x185B0066_CAN_FRAME</t>
  </si>
  <si>
    <t>Mes_ID_0x185C0066_CAN_FRAME</t>
  </si>
  <si>
    <t>Mes_ID_0x185D0066_CAN_FRAME</t>
  </si>
  <si>
    <t>Mes_ID_0x185E0066_CAN_FRAME</t>
  </si>
  <si>
    <t>Mes_ID_0x185F0066_CAN_FRAME</t>
  </si>
  <si>
    <t>Mes_ID_0x18600066_CAN_FRAME</t>
  </si>
  <si>
    <t>Mes_ID_0x18610066_CAN_FRAME</t>
  </si>
  <si>
    <t>Mes_ID_0x18620066_CAN_FRAME</t>
  </si>
  <si>
    <t>Mes_ID_0x18630066_CAN_FRAME</t>
  </si>
  <si>
    <t>Mes_ID_0x18640066_CAN_FRAME</t>
  </si>
  <si>
    <t>Mes_ID_0x18650066_CAN_FRAME</t>
  </si>
  <si>
    <t>Mes_ID_0x18660066_CAN_FRAME</t>
  </si>
  <si>
    <t>Mes_ID_0x18670066_CAN_FRAME</t>
  </si>
  <si>
    <t>Mes_ID_0x18680066_CAN_FRAME</t>
  </si>
  <si>
    <t>Mes_ID_0x18690066_CAN_FRAME</t>
  </si>
  <si>
    <t>Mes_ID_0x186A0066_CAN_FRAME</t>
  </si>
  <si>
    <t>Mes_ID_0x186B0066_CAN_FRAME</t>
  </si>
  <si>
    <t>Mes_ID_0x186C0066_CAN_FRAME</t>
  </si>
  <si>
    <t>Mes_ID_0x186D0066_CAN_FRAME</t>
  </si>
  <si>
    <t>Mes_ID_0x186E0066_CAN_FRAME</t>
  </si>
  <si>
    <t>Mes_ID_0x186F0066_CAN_FRAME</t>
  </si>
  <si>
    <t>Mes_ID_0x18700066_CAN_FRAME</t>
  </si>
  <si>
    <r>
      <rPr>
        <sz val="11"/>
        <color theme="1"/>
        <rFont val="Times New Roman"/>
        <charset val="134"/>
      </rPr>
      <t>800VBMS_CANTx_</t>
    </r>
    <r>
      <rPr>
        <sz val="11"/>
        <color theme="1"/>
        <rFont val="宋体"/>
        <charset val="134"/>
      </rPr>
      <t>维护</t>
    </r>
    <r>
      <rPr>
        <sz val="11"/>
        <color theme="1"/>
        <rFont val="Times New Roman"/>
        <charset val="134"/>
      </rPr>
      <t>_07</t>
    </r>
  </si>
  <si>
    <t>Mes_ID_0x18800066_CAN_FRAME</t>
  </si>
  <si>
    <t>Mes_ID_0x18810066_CAN_FRAME</t>
  </si>
  <si>
    <t>Mes_ID_0x18820066_CAN_FRAME</t>
  </si>
  <si>
    <t>Mes_ID_0x18830066_CAN_FRAME</t>
  </si>
  <si>
    <t>Mes_ID_0x18840066_CAN_FRAME</t>
  </si>
  <si>
    <t>Mes_ID_0x18850066_CAN_FRAME</t>
  </si>
  <si>
    <t>Mes_ID_0x18860066_CAN_FRAME</t>
  </si>
  <si>
    <t>Mes_ID_0x18870066_CAN_FRAME</t>
  </si>
  <si>
    <t>Mes_ID_0x18880066_CAN_FRAME</t>
  </si>
  <si>
    <t>Mes_ID_0x18890066_CAN_FRAME</t>
  </si>
  <si>
    <t>Mes_ID_0x188A0066_CAN_FRAME</t>
  </si>
  <si>
    <t>Mes_ID_0x188B0066_CAN_FRAME</t>
  </si>
  <si>
    <t>Mes_ID_0x188C0066_CAN_FRAME</t>
  </si>
  <si>
    <t>Mes_ID_0x188D0066_CAN_FRAME</t>
  </si>
  <si>
    <t>Mes_ID_0x188E0066_CAN_FRAME</t>
  </si>
  <si>
    <t>Mes_ID_0x188F0066_CAN_FRAME</t>
  </si>
  <si>
    <t>Mes_ID_0x18900066_CAN_FRAME</t>
  </si>
  <si>
    <t>Mes_ID_0x18910066_CAN_FRAME</t>
  </si>
  <si>
    <t>Mes_ID_0x18920066_CAN_FRAME</t>
  </si>
  <si>
    <t>Mes_ID_0x18930066_CAN_FRAME</t>
  </si>
  <si>
    <t>Mes_ID_0x18940066_CAN_FRAME</t>
  </si>
  <si>
    <t>Mes_ID_0x18950066_CAN_FRAME</t>
  </si>
  <si>
    <t>Mes_ID_0x18960066_CAN_FRAME</t>
  </si>
  <si>
    <t>Mes_ID_0x18970066_CAN_FRAME</t>
  </si>
  <si>
    <t>Mes_ID_0x18980066_CAN_FRAME</t>
  </si>
  <si>
    <t>Mes_ID_0x18990066_CAN_FRAME</t>
  </si>
  <si>
    <t>Mes_ID_0x189A0066_CAN_FRAME</t>
  </si>
  <si>
    <t>Mes_ID_0x189B0066_CAN_FRAME</t>
  </si>
  <si>
    <t>Mes_ID_0x189C0066_CAN_FRAME</t>
  </si>
  <si>
    <t>Mes_ID_0x189D0066_CAN_FRAME</t>
  </si>
  <si>
    <t>Mes_ID_0x189E0066_CAN_FRAME</t>
  </si>
  <si>
    <t>Mes_ID_0x189F0066_CAN_FRAME</t>
  </si>
  <si>
    <t>Mes_ID_0x18A00066_CAN_FRAME</t>
  </si>
  <si>
    <t>Mes_ID_0x18A10066_CAN_FRAME</t>
  </si>
  <si>
    <t>Mes_ID_0x18A20066_CAN_FRAME</t>
  </si>
  <si>
    <t>Mes_ID_0x18A30066_CAN_FRAME</t>
  </si>
  <si>
    <t>Mes_ID_0x18A40066_CAN_FRAME</t>
  </si>
  <si>
    <t>Mes_ID_0x18A50066_CAN_FRAME</t>
  </si>
  <si>
    <t>Mes_ID_0x18A60066_CAN_FRAME</t>
  </si>
  <si>
    <r>
      <rPr>
        <sz val="11"/>
        <color theme="1"/>
        <rFont val="Times New Roman"/>
        <charset val="134"/>
      </rPr>
      <t>800VBMS_CANTx_</t>
    </r>
    <r>
      <rPr>
        <sz val="11"/>
        <color theme="1"/>
        <rFont val="宋体"/>
        <charset val="134"/>
      </rPr>
      <t>维护</t>
    </r>
    <r>
      <rPr>
        <sz val="11"/>
        <color theme="1"/>
        <rFont val="Times New Roman"/>
        <charset val="134"/>
      </rPr>
      <t>_08</t>
    </r>
  </si>
  <si>
    <t>Mes_ID_0x180D0088_CAN_FRAME</t>
  </si>
  <si>
    <t>Mes_ID_0x18210088_CAN_FRAME</t>
  </si>
  <si>
    <t>Mes_ID_0x18300088_CAN_FRAME</t>
  </si>
  <si>
    <t>Mes_ID_0x18310088_CAN_FRAME</t>
  </si>
  <si>
    <t>Mes_ID_0x18320088_CAN_FRAME</t>
  </si>
  <si>
    <t>Mes_ID_0x18330088_CAN_FRAME</t>
  </si>
  <si>
    <t>Mes_ID_0x18340088_CAN_FRAME</t>
  </si>
  <si>
    <t>Mes_ID_0x18350088_CAN_FRAME</t>
  </si>
  <si>
    <t>Mes_ID_0x18360088_CAN_FRAME</t>
  </si>
  <si>
    <t>Mes_ID_0x18370088_CAN_FRAME</t>
  </si>
  <si>
    <t>Mes_ID_0x18380088_CAN_FRAME</t>
  </si>
  <si>
    <t>Mes_ID_0x18390088_CAN_FRAME</t>
  </si>
  <si>
    <t>Mes_ID_0x183A0088_CAN_FRAME</t>
  </si>
  <si>
    <t>Mes_ID_0x183B0088_CAN_FRAME</t>
  </si>
  <si>
    <t>Mes_ID_0x183C0088_CAN_FRAME</t>
  </si>
  <si>
    <t>Mes_ID_0x183D0088_CAN_FRAME</t>
  </si>
  <si>
    <t>Mes_ID_0x183E0088_CAN_FRAME</t>
  </si>
  <si>
    <t>Mes_ID_0x18410088_CAN_FRAME</t>
  </si>
  <si>
    <t>Mes_ID_0x18420088_CAN_FRAME</t>
  </si>
  <si>
    <t>Mes_ID_0x18430088_CAN_FRAME</t>
  </si>
  <si>
    <t>Mes_ID_0x18440088_CAN_FRAME</t>
  </si>
  <si>
    <t>Mes_ID_0x18450088_CAN_FRAME</t>
  </si>
  <si>
    <t>Mes_ID_0x18460088_CAN_FRAME</t>
  </si>
  <si>
    <t>Mes_ID_0x18470088_CAN_FRAME</t>
  </si>
  <si>
    <t>Mes_ID_0x18480088_CAN_FRAME</t>
  </si>
  <si>
    <t>Mes_ID_0x18490088_CAN_FRAME</t>
  </si>
  <si>
    <t>Mes_ID_0x184A0088_CAN_FRAME</t>
  </si>
  <si>
    <t>Mes_ID_0x184B0088_CAN_FRAME</t>
  </si>
  <si>
    <t>Mes_ID_0x184C0088_CAN_FRAME</t>
  </si>
  <si>
    <t>Mes_ID_0x184D0088_CAN_FRAME</t>
  </si>
  <si>
    <t>Mes_ID_0x184E0088_CAN_FRAME</t>
  </si>
  <si>
    <t>Mes_ID_0x184F0088_CAN_FRAME</t>
  </si>
  <si>
    <t>Mes_ID_0x18500088_CAN_FRAME</t>
  </si>
  <si>
    <t>Mes_ID_0x18510088_CAN_FRAME</t>
  </si>
  <si>
    <t>Mes_ID_0x18520088_CAN_FRAME</t>
  </si>
  <si>
    <t>Mes_ID_0x18530088_CAN_FRAME</t>
  </si>
  <si>
    <t>Mes_ID_0x18540088_CAN_FRAME</t>
  </si>
  <si>
    <t>Mes_ID_0x18550088_CAN_FRAME</t>
  </si>
  <si>
    <t>Mes_ID_0x18560088_CAN_FRAME</t>
  </si>
  <si>
    <t>Mes_ID_0x18570088_CAN_FRAME</t>
  </si>
  <si>
    <t>Mes_ID_0x18580088_CAN_FRAME</t>
  </si>
  <si>
    <t>Mes_ID_0x18590088_CAN_FRAME</t>
  </si>
  <si>
    <t>Mes_ID_0x185A0088_CAN_FRAME</t>
  </si>
  <si>
    <t>Mes_ID_0x185B0088_CAN_FRAME</t>
  </si>
  <si>
    <t>Mes_ID_0x185C0088_CAN_FRAME</t>
  </si>
  <si>
    <t>Mes_ID_0x185D0088_CAN_FRAME</t>
  </si>
  <si>
    <t>Mes_ID_0x185E0088_CAN_FRAME</t>
  </si>
  <si>
    <t>Mes_ID_0x185F0088_CAN_FRAME</t>
  </si>
  <si>
    <t>Mes_ID_0x18600088_CAN_FRAME</t>
  </si>
  <si>
    <t>Mes_ID_0x18610088_CAN_FRAME</t>
  </si>
  <si>
    <t>Mes_ID_0x18620088_CAN_FRAME</t>
  </si>
  <si>
    <t>Mes_ID_0x18630088_CAN_FRAME</t>
  </si>
  <si>
    <t>Mes_ID_0x18640088_CAN_FRAME</t>
  </si>
  <si>
    <t>Mes_ID_0x18650088_CAN_FRAME</t>
  </si>
  <si>
    <t>Mes_ID_0x18660088_CAN_FRAME</t>
  </si>
  <si>
    <t>Mes_ID_0x18670088_CAN_FRAME</t>
  </si>
  <si>
    <t>Mes_ID_0x18680088_CAN_FRAME</t>
  </si>
  <si>
    <t>Mes_ID_0x18690088_CAN_FRAME</t>
  </si>
  <si>
    <t>Mes_ID_0x186A0088_CAN_FRAME</t>
  </si>
  <si>
    <t>Mes_ID_0x186B0088_CAN_FRAME</t>
  </si>
  <si>
    <t>Mes_ID_0x186C0088_CAN_FRAME</t>
  </si>
  <si>
    <t>Mes_ID_0x186D0088_CAN_FRAME</t>
  </si>
  <si>
    <t>Mes_ID_0x186E0088_CAN_FRAME</t>
  </si>
  <si>
    <t>Mes_ID_0x186F0088_CAN_FRAME</t>
  </si>
  <si>
    <t>Mes_ID_0x18700088_CAN_FRAME</t>
  </si>
  <si>
    <r>
      <rPr>
        <sz val="11"/>
        <color theme="1"/>
        <rFont val="Times New Roman"/>
        <charset val="134"/>
      </rPr>
      <t>800VBMS_CANTx_</t>
    </r>
    <r>
      <rPr>
        <sz val="11"/>
        <color theme="1"/>
        <rFont val="宋体"/>
        <charset val="134"/>
      </rPr>
      <t>维护</t>
    </r>
    <r>
      <rPr>
        <sz val="11"/>
        <color theme="1"/>
        <rFont val="Times New Roman"/>
        <charset val="134"/>
      </rPr>
      <t>_09</t>
    </r>
  </si>
  <si>
    <t>Mes_ID_0x18800088_CAN_FRAME</t>
  </si>
  <si>
    <t>Mes_ID_0x18810088_CAN_FRAME</t>
  </si>
  <si>
    <t>Mes_ID_0x18820088_CAN_FRAME</t>
  </si>
  <si>
    <t>Mes_ID_0x18830088_CAN_FRAME</t>
  </si>
  <si>
    <t>Mes_ID_0x18840088_CAN_FRAME</t>
  </si>
  <si>
    <t>Mes_ID_0x18850088_CAN_FRAME</t>
  </si>
  <si>
    <t>Mes_ID_0x18860088_CAN_FRAME</t>
  </si>
  <si>
    <t>Mes_ID_0x18870088_CAN_FRAME</t>
  </si>
  <si>
    <t>Mes_ID_0x18880088_CAN_FRAME</t>
  </si>
  <si>
    <t>Mes_ID_0x18890088_CAN_FRAME</t>
  </si>
  <si>
    <t>Mes_ID_0x188A0088_CAN_FRAME</t>
  </si>
  <si>
    <t>Mes_ID_0x188B0088_CAN_FRAME</t>
  </si>
  <si>
    <t>Mes_ID_0x188C0088_CAN_FRAME</t>
  </si>
  <si>
    <t>Mes_ID_0x188D0088_CAN_FRAME</t>
  </si>
  <si>
    <t>Mes_ID_0x188E0088_CAN_FRAME</t>
  </si>
  <si>
    <t>Mes_ID_0x188F0088_CAN_FRAME</t>
  </si>
  <si>
    <t>Mes_ID_0x18900088_CAN_FRAME</t>
  </si>
  <si>
    <t>Mes_ID_0x18910088_CAN_FRAME</t>
  </si>
  <si>
    <t>Mes_ID_0x18920088_CAN_FRAME</t>
  </si>
  <si>
    <t>Mes_ID_0x18930088_CAN_FRAME</t>
  </si>
  <si>
    <t>Mes_ID_0x18940088_CAN_FRAME</t>
  </si>
  <si>
    <t>Mes_ID_0x18950088_CAN_FRAME</t>
  </si>
  <si>
    <t>Mes_ID_0x18960088_CAN_FRAME</t>
  </si>
  <si>
    <t>Mes_ID_0x18970088_CAN_FRAME</t>
  </si>
  <si>
    <t>Mes_ID_0x18980088_CAN_FRAME</t>
  </si>
  <si>
    <t>Mes_ID_0x18990088_CAN_FRAME</t>
  </si>
  <si>
    <t>Mes_ID_0x189A0088_CAN_FRAME</t>
  </si>
  <si>
    <t>Mes_ID_0x189B0088_CAN_FRAME</t>
  </si>
  <si>
    <t>Mes_ID_0x189C0088_CAN_FRAME</t>
  </si>
  <si>
    <t>Mes_ID_0x189D0088_CAN_FRAME</t>
  </si>
  <si>
    <t>Mes_ID_0x189E0088_CAN_FRAME</t>
  </si>
  <si>
    <t>Mes_ID_0x189F0088_CAN_FRAME</t>
  </si>
  <si>
    <t>Mes_ID_0x18A00088_CAN_FRAME</t>
  </si>
  <si>
    <t>Mes_ID_0x18A10088_CAN_FRAME</t>
  </si>
  <si>
    <t>Mes_ID_0x18A20088_CAN_FRAME</t>
  </si>
  <si>
    <t>Mes_ID_0x18A30088_CAN_FRAME</t>
  </si>
  <si>
    <t>Mes_ID_0x18A40088_CAN_FRAME</t>
  </si>
  <si>
    <t>Mes_ID_0x18A50088_CAN_FRAME</t>
  </si>
  <si>
    <t>Mes_ID_0x18A60088_CAN_FRAME</t>
  </si>
  <si>
    <r>
      <rPr>
        <sz val="11"/>
        <color theme="1"/>
        <rFont val="Times New Roman"/>
        <charset val="134"/>
      </rPr>
      <t>800VBMS_CANTx_</t>
    </r>
    <r>
      <rPr>
        <sz val="11"/>
        <color theme="1"/>
        <rFont val="宋体"/>
        <charset val="134"/>
      </rPr>
      <t>维护</t>
    </r>
    <r>
      <rPr>
        <sz val="11"/>
        <color theme="1"/>
        <rFont val="Times New Roman"/>
        <charset val="134"/>
      </rPr>
      <t>_10</t>
    </r>
  </si>
  <si>
    <t>Mes_ID_0x180D00AA_CAN_FRAME</t>
  </si>
  <si>
    <t>Mes_ID_0x182100AA_CAN_FRAME</t>
  </si>
  <si>
    <t>Mes_ID_0x183000AA_CAN_FRAME</t>
  </si>
  <si>
    <t>Mes_ID_0x183100AA_CAN_FRAME</t>
  </si>
  <si>
    <t>Mes_ID_0x183200AA_CAN_FRAME</t>
  </si>
  <si>
    <t>Mes_ID_0x183300AA_CAN_FRAME</t>
  </si>
  <si>
    <t>Mes_ID_0x183400AA_CAN_FRAME</t>
  </si>
  <si>
    <t>Mes_ID_0x183500AA_CAN_FRAME</t>
  </si>
  <si>
    <t>Mes_ID_0x183600AA_CAN_FRAME</t>
  </si>
  <si>
    <t>Mes_ID_0x183700AA_CAN_FRAME</t>
  </si>
  <si>
    <t>Mes_ID_0x183800AA_CAN_FRAME</t>
  </si>
  <si>
    <t>Mes_ID_0x183900AA_CAN_FRAME</t>
  </si>
  <si>
    <t>Mes_ID_0x183A00AA_CAN_FRAME</t>
  </si>
  <si>
    <t>Mes_ID_0x183B00AA_CAN_FRAME</t>
  </si>
  <si>
    <t>Mes_ID_0x183C00AA_CAN_FRAME</t>
  </si>
  <si>
    <t>Mes_ID_0x183D00AA_CAN_FRAME</t>
  </si>
  <si>
    <t>Mes_ID_0x183E00AA_CAN_FRAME</t>
  </si>
  <si>
    <t>Mes_ID_0x184100AA_CAN_FRAME</t>
  </si>
  <si>
    <t>Mes_ID_0x184200AA_CAN_FRAME</t>
  </si>
  <si>
    <t>Mes_ID_0x184300AA_CAN_FRAME</t>
  </si>
  <si>
    <t>Mes_ID_0x184400AA_CAN_FRAME</t>
  </si>
  <si>
    <t>Mes_ID_0x184500AA_CAN_FRAME</t>
  </si>
  <si>
    <t>Mes_ID_0x184600AA_CAN_FRAME</t>
  </si>
  <si>
    <t>Mes_ID_0x184700AA_CAN_FRAME</t>
  </si>
  <si>
    <t>Mes_ID_0x184800AA_CAN_FRAME</t>
  </si>
  <si>
    <t>Mes_ID_0x184900AA_CAN_FRAME</t>
  </si>
  <si>
    <t>Mes_ID_0x184A00AA_CAN_FRAME</t>
  </si>
  <si>
    <t>Mes_ID_0x184B00AA_CAN_FRAME</t>
  </si>
  <si>
    <t>Mes_ID_0x184C00AA_CAN_FRAME</t>
  </si>
  <si>
    <t>Mes_ID_0x184D00AA_CAN_FRAME</t>
  </si>
  <si>
    <t>Mes_ID_0x184E00AA_CAN_FRAME</t>
  </si>
  <si>
    <t>Mes_ID_0x184F00AA_CAN_FRAME</t>
  </si>
  <si>
    <t>Mes_ID_0x185000AA_CAN_FRAME</t>
  </si>
  <si>
    <t>Mes_ID_0x185100AA_CAN_FRAME</t>
  </si>
  <si>
    <t>Mes_ID_0x185200AA_CAN_FRAME</t>
  </si>
  <si>
    <t>Mes_ID_0x185300AA_CAN_FRAME</t>
  </si>
  <si>
    <t>Mes_ID_0x185400AA_CAN_FRAME</t>
  </si>
  <si>
    <t>Mes_ID_0x185500AA_CAN_FRAME</t>
  </si>
  <si>
    <t>Mes_ID_0x185600AA_CAN_FRAME</t>
  </si>
  <si>
    <t>Mes_ID_0x185700AA_CAN_FRAME</t>
  </si>
  <si>
    <t>Mes_ID_0x185800AA_CAN_FRAME</t>
  </si>
  <si>
    <t>Mes_ID_0x185900AA_CAN_FRAME</t>
  </si>
  <si>
    <t>Mes_ID_0x185A00AA_CAN_FRAME</t>
  </si>
  <si>
    <t>Mes_ID_0x185B00AA_CAN_FRAME</t>
  </si>
  <si>
    <t>Mes_ID_0x185C00AA_CAN_FRAME</t>
  </si>
  <si>
    <t>Mes_ID_0x185D00AA_CAN_FRAME</t>
  </si>
  <si>
    <t>Mes_ID_0x185E00AA_CAN_FRAME</t>
  </si>
  <si>
    <t>Mes_ID_0x185F00AA_CAN_FRAME</t>
  </si>
  <si>
    <t>Mes_ID_0x186000AA_CAN_FRAME</t>
  </si>
  <si>
    <t>Mes_ID_0x186100AA_CAN_FRAME</t>
  </si>
  <si>
    <t>Mes_ID_0x186200AA_CAN_FRAME</t>
  </si>
  <si>
    <t>Mes_ID_0x186300AA_CAN_FRAME</t>
  </si>
  <si>
    <t>Mes_ID_0x186400AA_CAN_FRAME</t>
  </si>
  <si>
    <t>Mes_ID_0x186500AA_CAN_FRAME</t>
  </si>
  <si>
    <t>Mes_ID_0x186600AA_CAN_FRAME</t>
  </si>
  <si>
    <t>Mes_ID_0x186700AA_CAN_FRAME</t>
  </si>
  <si>
    <t>Mes_ID_0x186800AA_CAN_FRAME</t>
  </si>
  <si>
    <t>Mes_ID_0x186900AA_CAN_FRAME</t>
  </si>
  <si>
    <t>Mes_ID_0x186A00AA_CAN_FRAME</t>
  </si>
  <si>
    <t>Mes_ID_0x186B00AA_CAN_FRAME</t>
  </si>
  <si>
    <t>Mes_ID_0x186C00AA_CAN_FRAME</t>
  </si>
  <si>
    <t>Mes_ID_0x186D00AA_CAN_FRAME</t>
  </si>
  <si>
    <t>Mes_ID_0x186E00AA_CAN_FRAME</t>
  </si>
  <si>
    <t>Mes_ID_0x186F00AA_CAN_FRAME</t>
  </si>
  <si>
    <t>Mes_ID_0x187000AA_CAN_FRAME</t>
  </si>
  <si>
    <r>
      <rPr>
        <sz val="11"/>
        <color theme="1"/>
        <rFont val="Times New Roman"/>
        <charset val="134"/>
      </rPr>
      <t>800VBMS_CANTx_</t>
    </r>
    <r>
      <rPr>
        <sz val="11"/>
        <color theme="1"/>
        <rFont val="宋体"/>
        <charset val="134"/>
      </rPr>
      <t>维护</t>
    </r>
    <r>
      <rPr>
        <sz val="11"/>
        <color theme="1"/>
        <rFont val="Times New Roman"/>
        <charset val="134"/>
      </rPr>
      <t>_11</t>
    </r>
  </si>
  <si>
    <t>Mes_ID_0x188000AA_CAN_FRAME</t>
  </si>
  <si>
    <t>Mes_ID_0x188100AA_CAN_FRAME</t>
  </si>
  <si>
    <t>Mes_ID_0x188200AA_CAN_FRAME</t>
  </si>
  <si>
    <t>Mes_ID_0x188300AA_CAN_FRAME</t>
  </si>
  <si>
    <t>Mes_ID_0x188400AA_CAN_FRAME</t>
  </si>
  <si>
    <t>Mes_ID_0x188500AA_CAN_FRAME</t>
  </si>
  <si>
    <t>Mes_ID_0x188600AA_CAN_FRAME</t>
  </si>
  <si>
    <t>Mes_ID_0x188700AA_CAN_FRAME</t>
  </si>
  <si>
    <t>Mes_ID_0x188800AA_CAN_FRAME</t>
  </si>
  <si>
    <t>Mes_ID_0x188900AA_CAN_FRAME</t>
  </si>
  <si>
    <t>Mes_ID_0x188A00AA_CAN_FRAME</t>
  </si>
  <si>
    <t>Mes_ID_0x188B00AA_CAN_FRAME</t>
  </si>
  <si>
    <t>Mes_ID_0x188C00AA_CAN_FRAME</t>
  </si>
  <si>
    <t>Mes_ID_0x188D00AA_CAN_FRAME</t>
  </si>
  <si>
    <t>Mes_ID_0x188E00AA_CAN_FRAME</t>
  </si>
  <si>
    <t>Mes_ID_0x188F00AA_CAN_FRAME</t>
  </si>
  <si>
    <t>Mes_ID_0x189000AA_CAN_FRAME</t>
  </si>
  <si>
    <t>Mes_ID_0x189100AA_CAN_FRAME</t>
  </si>
  <si>
    <t>Mes_ID_0x189200AA_CAN_FRAME</t>
  </si>
  <si>
    <t>Mes_ID_0x189300AA_CAN_FRAME</t>
  </si>
  <si>
    <t>Mes_ID_0x189400AA_CAN_FRAME</t>
  </si>
  <si>
    <t>Mes_ID_0x189500AA_CAN_FRAME</t>
  </si>
  <si>
    <t>Mes_ID_0x189600AA_CAN_FRAME</t>
  </si>
  <si>
    <t>Mes_ID_0x189700AA_CAN_FRAME</t>
  </si>
  <si>
    <t>Mes_ID_0x189800AA_CAN_FRAME</t>
  </si>
  <si>
    <t>Mes_ID_0x189900AA_CAN_FRAME</t>
  </si>
  <si>
    <t>Mes_ID_0x189A00AA_CAN_FRAME</t>
  </si>
  <si>
    <t>Mes_ID_0x189B00AA_CAN_FRAME</t>
  </si>
  <si>
    <t>Mes_ID_0x189C00AA_CAN_FRAME</t>
  </si>
  <si>
    <t>Mes_ID_0x189D00AA_CAN_FRAME</t>
  </si>
  <si>
    <t>Mes_ID_0x189E00AA_CAN_FRAME</t>
  </si>
  <si>
    <t>Mes_ID_0x189F00AA_CAN_FRAME</t>
  </si>
  <si>
    <t>Mes_ID_0x18A000AA_CAN_FRAME</t>
  </si>
  <si>
    <t>Mes_ID_0x18A100AA_CAN_FRAME</t>
  </si>
  <si>
    <t>Mes_ID_0x18A200AA_CAN_FRAME</t>
  </si>
  <si>
    <t>Mes_ID_0x18A300AA_CAN_FRAME</t>
  </si>
  <si>
    <t>Mes_ID_0x18A400AA_CAN_FRAME</t>
  </si>
  <si>
    <t>Mes_ID_0x18A500AA_CAN_FRAME</t>
  </si>
  <si>
    <t>Mes_ID_0x18A600AA_CAN_FRAME</t>
  </si>
  <si>
    <t>Uplink_Msg_41</t>
  </si>
  <si>
    <t>270VBMS_CANTx_0_01</t>
  </si>
  <si>
    <t>270V\28V_BMS</t>
  </si>
  <si>
    <t>Mes_ID_0x19010011_CAN_FRAME</t>
  </si>
  <si>
    <r>
      <rPr>
        <b/>
        <sz val="11"/>
        <rFont val="宋体"/>
        <charset val="134"/>
      </rPr>
      <t>扩展帧</t>
    </r>
    <r>
      <rPr>
        <b/>
        <sz val="11"/>
        <rFont val="Times New Roman"/>
        <charset val="134"/>
      </rPr>
      <t>CAN</t>
    </r>
    <r>
      <rPr>
        <b/>
        <sz val="11"/>
        <rFont val="宋体"/>
        <charset val="134"/>
      </rPr>
      <t>消息</t>
    </r>
  </si>
  <si>
    <t>Mes_ID_0x19010022_CAN_FRAME</t>
  </si>
  <si>
    <t>Mes_ID_0x19010033_CAN_FRAME</t>
  </si>
  <si>
    <t>Mes_ID_0x19010044_CAN_FRAME</t>
  </si>
  <si>
    <t>270V\28VBMS_CANTx_0_02</t>
  </si>
  <si>
    <t>Mes_ID_0x19020011_CAN_FRAME</t>
  </si>
  <si>
    <t>Mes_ID_0x19030011_CAN_FRAME</t>
  </si>
  <si>
    <t>Mes_ID_0x19E10011_CAN_FRAME</t>
  </si>
  <si>
    <t>Mes_ID_0x19E20011_CAN_FRAME</t>
  </si>
  <si>
    <t>Mes_ID_0x19020022_CAN_FRAME</t>
  </si>
  <si>
    <t>Mes_ID_0x19030022_CAN_FRAME</t>
  </si>
  <si>
    <t>Mes_ID_0x19E10022_CAN_FRAME</t>
  </si>
  <si>
    <t>Mes_ID_0x19E20022_CAN_FRAME</t>
  </si>
  <si>
    <t>Mes_ID_0x19020033_CAN_FRAME</t>
  </si>
  <si>
    <t>Mes_ID_0x19030033_CAN_FRAME</t>
  </si>
  <si>
    <t>Mes_ID_0x19E10033_CAN_FRAME</t>
  </si>
  <si>
    <t>Mes_ID_0x19E20033_CAN_FRAME</t>
  </si>
  <si>
    <t>Mes_ID_0x19020044_CAN_FRAME</t>
  </si>
  <si>
    <t>Mes_ID_0x19030044_CAN_FRAME</t>
  </si>
  <si>
    <t>Mes_ID_0x19E10044_CAN_FRAME</t>
  </si>
  <si>
    <t>Mes_ID_0x19E20044_CAN_FRAME</t>
  </si>
  <si>
    <t>Mes_ID_0x19F100FF_CAN_FRAME</t>
  </si>
  <si>
    <t>Uplink_Msg_42</t>
  </si>
  <si>
    <t>270V\28VBMS_CANTx_0_03</t>
  </si>
  <si>
    <t>Mes_ID_0x19040011_CAN_FRAME</t>
  </si>
  <si>
    <t>Mes_ID_0x19050011_CAN_FRAME</t>
  </si>
  <si>
    <t>Mes_ID_0x19060011_CAN_FRAME</t>
  </si>
  <si>
    <t>Mes_ID_0x19070011_CAN_FRAME</t>
  </si>
  <si>
    <t>Mes_ID_0x19080011_CAN_FRAME</t>
  </si>
  <si>
    <t>Mes_ID_0x19090011_CAN_FRAME</t>
  </si>
  <si>
    <t>Mes_ID_0x190A0011_CAN_FRAME</t>
  </si>
  <si>
    <t>Mes_ID_0x190B0011_CAN_FRAME</t>
  </si>
  <si>
    <t>Mes_ID_0x190C0011_CAN_FRAME</t>
  </si>
  <si>
    <t>Mes_ID_0x19040022_CAN_FRAME</t>
  </si>
  <si>
    <t>Mes_ID_0x19050022_CAN_FRAME</t>
  </si>
  <si>
    <t>Mes_ID_0x19060022_CAN_FRAME</t>
  </si>
  <si>
    <t>Mes_ID_0x19070022_CAN_FRAME</t>
  </si>
  <si>
    <t>Mes_ID_0x19080022_CAN_FRAME</t>
  </si>
  <si>
    <t>Mes_ID_0x19090022_CAN_FRAME</t>
  </si>
  <si>
    <t>Mes_ID_0x190A0022_CAN_FRAME</t>
  </si>
  <si>
    <t>Mes_ID_0x190B0022_CAN_FRAME</t>
  </si>
  <si>
    <t>Mes_ID_0x190C0022_CAN_FRAME</t>
  </si>
  <si>
    <t>Mes_ID_0x19040033_CAN_FRAME</t>
  </si>
  <si>
    <t>Mes_ID_0x19050033_CAN_FRAME</t>
  </si>
  <si>
    <t>Mes_ID_0x19060033_CAN_FRAME</t>
  </si>
  <si>
    <t>Mes_ID_0x19070033_CAN_FRAME</t>
  </si>
  <si>
    <t>Mes_ID_0x19080033_CAN_FRAME</t>
  </si>
  <si>
    <t>Mes_ID_0x19090033_CAN_FRAME</t>
  </si>
  <si>
    <t>Mes_ID_0x190A0033_CAN_FRAME</t>
  </si>
  <si>
    <t>Mes_ID_0x190B0033_CAN_FRAME</t>
  </si>
  <si>
    <t>Mes_ID_0x190C0033_CAN_FRAME</t>
  </si>
  <si>
    <t>Mes_ID_0x19040044_CAN_FRAME</t>
  </si>
  <si>
    <t>Mes_ID_0x19050044_CAN_FRAME</t>
  </si>
  <si>
    <t>Mes_ID_0x19060044CAN_FRAME</t>
  </si>
  <si>
    <t>Mes_ID_0x19070044_CAN_FRAME</t>
  </si>
  <si>
    <t>Mes_ID_0x19080044_CAN_FRAME</t>
  </si>
  <si>
    <t>Mes_ID_0x19090044_CAN_FRAME</t>
  </si>
  <si>
    <t>Mes_ID_0x190A0044_CAN_FRAME</t>
  </si>
  <si>
    <t>Mes_ID_0x190B0044_CAN_FRAME</t>
  </si>
  <si>
    <t>Mes_ID_0x190C0044_CAN_FRAME</t>
  </si>
  <si>
    <t>Uplink_Msg_43</t>
  </si>
  <si>
    <t>270\28VVBMS_CANTx_0_04</t>
  </si>
  <si>
    <t>Mes_ID_0x19410011_CAN_FRAME</t>
  </si>
  <si>
    <t>Mes_ID_0x19420011_CAN_FRAME</t>
  </si>
  <si>
    <t>Mes_ID_0x19410022_CAN_FRAME</t>
  </si>
  <si>
    <t>Mes_ID_0x19420022_CAN_FRAME</t>
  </si>
  <si>
    <t>Mes_ID_0x19430022_CAN_FRAME</t>
  </si>
  <si>
    <t>Mes_ID_0x19440022_CAN_FRAME</t>
  </si>
  <si>
    <t>Mes_ID_0x19450022_CAN_FRAME</t>
  </si>
  <si>
    <t>Mes_ID_0x19460022_CAN_FRAME</t>
  </si>
  <si>
    <t>Mes_ID_0x19470022_CAN_FRAME</t>
  </si>
  <si>
    <t>Mes_ID_0x19480022_CAN_FRAME</t>
  </si>
  <si>
    <t>Mes_ID_0x19490022_CAN_FRAME</t>
  </si>
  <si>
    <t>Mes_ID_0x194A0022_CAN_FRAME</t>
  </si>
  <si>
    <t>Mes_ID_0x194B0022_CAN_FRAME</t>
  </si>
  <si>
    <t>Mes_ID_0x194C0022_CAN_FRAME</t>
  </si>
  <si>
    <t>Mes_ID_0x194D0022_CAN_FRAME</t>
  </si>
  <si>
    <t>Mes_ID_0x194E0022_CAN_FRAME</t>
  </si>
  <si>
    <t>Mes_ID_0x194F0022_CAN_FRAME</t>
  </si>
  <si>
    <t>Mes_ID_0x19500022_CAN_FRAME</t>
  </si>
  <si>
    <t>Mes_ID_0x19510022_CAN_FRAME</t>
  </si>
  <si>
    <t>Mes_ID_0x19520022_CAN_FRAME</t>
  </si>
  <si>
    <t>Mes_ID_0x19410033_CAN_FRAME</t>
  </si>
  <si>
    <t>Mes_ID_0x19420033_CAN_FRAME</t>
  </si>
  <si>
    <t>Mes_ID_0x19430033_CAN_FRAME</t>
  </si>
  <si>
    <t>Mes_ID_0x19440033_CAN_FRAME</t>
  </si>
  <si>
    <t>Mes_ID_0x19450033_CAN_FRAME</t>
  </si>
  <si>
    <t>Mes_ID_0x19460033_CAN_FRAME</t>
  </si>
  <si>
    <t>Mes_ID_0x19470033_CAN_FRAME</t>
  </si>
  <si>
    <t>Mes_ID_0x19480033_CAN_FRAME</t>
  </si>
  <si>
    <t>Mes_ID_0x19490033_CAN_FRAME</t>
  </si>
  <si>
    <t>Mes_ID_0x194A0033_CAN_FRAME</t>
  </si>
  <si>
    <t>Mes_ID_0x194B0033_CAN_FRAME</t>
  </si>
  <si>
    <t>Mes_ID_0x194C0033_CAN_FRAME</t>
  </si>
  <si>
    <t>Mes_ID_0x194D0033_CAN_FRAME</t>
  </si>
  <si>
    <t>Mes_ID_0x194E0033_CAN_FRAME</t>
  </si>
  <si>
    <t>Mes_ID_0x194F0033_CAN_FRAME</t>
  </si>
  <si>
    <t>Mes_ID_0x19500033_CAN_FRAME</t>
  </si>
  <si>
    <t>Mes_ID_0x19510033_CAN_FRAME</t>
  </si>
  <si>
    <t>Mes_ID_0x19520033_CAN_FRAME</t>
  </si>
  <si>
    <t>Mes_ID_0x19410044_CAN_FRAME</t>
  </si>
  <si>
    <t>Mes_ID_0x19420044_CAN_FRAME</t>
  </si>
  <si>
    <t>Mes_ID_0x19430044_CAN_FRAME</t>
  </si>
  <si>
    <t>Mes_ID_0x19440044_CAN_FRAME</t>
  </si>
  <si>
    <t>Mes_ID_0x19450044_CAN_FRAME</t>
  </si>
  <si>
    <t>Mes_ID_0x19460044_CAN_FRAME</t>
  </si>
  <si>
    <t>Mes_ID_0x19470044_CAN_FRAME</t>
  </si>
  <si>
    <t>Mes_ID_0x19480044_CAN_FRAME</t>
  </si>
  <si>
    <t>Mes_ID_0x19490044_CAN_FRAME</t>
  </si>
  <si>
    <t>Mes_ID_0x194A0044_CAN_FRAME</t>
  </si>
  <si>
    <t>Mes_ID_0x194B0044_CAN_FRAME</t>
  </si>
  <si>
    <t>Mes_ID_0x194C0044_CAN_FRAME</t>
  </si>
  <si>
    <t>Mes_ID_0x194D0044_CAN_FRAME</t>
  </si>
  <si>
    <t>Mes_ID_0x194E0044_CAN_FRAME</t>
  </si>
  <si>
    <t>Mes_ID_0x194F0044_CAN_FRAME</t>
  </si>
  <si>
    <t>Mes_ID_0x19500044_CAN_FRAME</t>
  </si>
  <si>
    <t>Mes_ID_0x19510044_CAN_FRAME</t>
  </si>
  <si>
    <t>Mes_ID_0x19520044_CAN_FRAME</t>
  </si>
  <si>
    <t>Uplink_Msg_47</t>
  </si>
  <si>
    <t>270V\28VBMS_CANTx_0_05</t>
  </si>
  <si>
    <t>Mes_ID_0x190D0011_CAN_FRAME</t>
  </si>
  <si>
    <t>Mes_ID_0x19210011_CAN_FRAME</t>
  </si>
  <si>
    <t>Mes_ID_0x19220011_CAN_FRAME</t>
  </si>
  <si>
    <t>Mes_ID_0x19800011_CAN_FRAME</t>
  </si>
  <si>
    <t>Mes_ID_0x19810011_CAN_FRAME</t>
  </si>
  <si>
    <t>Mes_ID_0x190D0022_CAN_FRAME</t>
  </si>
  <si>
    <t>Mes_ID_0x19210022_CAN_FRAME</t>
  </si>
  <si>
    <t>Mes_ID_0x19220022_CAN_FRAME</t>
  </si>
  <si>
    <t>Mes_ID_0x19800022_CAN_FRAME</t>
  </si>
  <si>
    <t>Mes_ID_0x19810022_CAN_FRAME</t>
  </si>
  <si>
    <t>Mes_ID_0x19820022_CAN_FRAME</t>
  </si>
  <si>
    <t>Mes_ID_0x19830022_CAN_FRAME</t>
  </si>
  <si>
    <t>Mes_ID_0x19840022_CAN_FRAME</t>
  </si>
  <si>
    <t>Mes_ID_0x19850022_CAN_FRAME</t>
  </si>
  <si>
    <t>Mes_ID_0x19860022_CAN_FRAME</t>
  </si>
  <si>
    <t>Mes_ID_0x19870022_CAN_FRAME</t>
  </si>
  <si>
    <t>Mes_ID_0x19880022_CAN_FRAME</t>
  </si>
  <si>
    <t>Mes_ID_0x19890022_CAN_FRAME</t>
  </si>
  <si>
    <t>Mes_ID_0x1988A022_CAN_FRAME</t>
  </si>
  <si>
    <t>Mes_ID_0x1988B022_CAN_FRAME</t>
  </si>
  <si>
    <t>Mes_ID_0x198C0022_CAN_FRAME</t>
  </si>
  <si>
    <t>Mes_ID_0x198D0022_CAN_FRAME</t>
  </si>
  <si>
    <t>Mes_ID_0x198E0022_CAN_FRAME</t>
  </si>
  <si>
    <t>Mes_ID_0x190D0033_CAN_FRAME</t>
  </si>
  <si>
    <t>Mes_ID_0x19210033_CAN_FRAME</t>
  </si>
  <si>
    <t>Mes_ID_0x19220033_CAN_FRAME</t>
  </si>
  <si>
    <t>Mes_ID_0x19800033_CAN_FRAME</t>
  </si>
  <si>
    <t>Mes_ID_0x19810033_CAN_FRAME</t>
  </si>
  <si>
    <t>Mes_ID_0x19820033_CAN_FRAME</t>
  </si>
  <si>
    <t>Mes_ID_0x19830033_CAN_FRAME</t>
  </si>
  <si>
    <t>Mes_ID_0x19840033_CAN_FRAME</t>
  </si>
  <si>
    <t>Mes_ID_0x19850033_CAN_FRAME</t>
  </si>
  <si>
    <t>Mes_ID_0x19860033_CAN_FRAME</t>
  </si>
  <si>
    <t>Mes_ID_0x19870033_CAN_FRAME</t>
  </si>
  <si>
    <t>Mes_ID_0x19880033_CAN_FRAME</t>
  </si>
  <si>
    <t>Mes_ID_0x19890033_CAN_FRAME</t>
  </si>
  <si>
    <t>Mes_ID_0x198A0033_CAN_FRAME</t>
  </si>
  <si>
    <t>Mes_ID_0x198B0033_CAN_FRAME</t>
  </si>
  <si>
    <t>Mes_ID_0x198C0033_CAN_FRAME</t>
  </si>
  <si>
    <t>Mes_ID_0x198D0033_CAN_FRAME</t>
  </si>
  <si>
    <t>Mes_ID_0x198E0033_CAN_FRAME</t>
  </si>
  <si>
    <t>Mes_ID_0x190D0044_CAN_FRAME</t>
  </si>
  <si>
    <t>Mes_ID_0x19210044_CAN_FRAME</t>
  </si>
  <si>
    <t>Mes_ID_0x19220044_CAN_FRAME</t>
  </si>
  <si>
    <t>Mes_ID_0x19800044_CAN_FRAME</t>
  </si>
  <si>
    <t>Mes_ID_0x19810044_CAN_FRAME</t>
  </si>
  <si>
    <t>Mes_ID_0x19820044_CAN_FRAME</t>
  </si>
  <si>
    <t>Mes_ID_0x19830044_CAN_FRAME</t>
  </si>
  <si>
    <t>Mes_ID_0x19840044_CAN_FRAME</t>
  </si>
  <si>
    <t>Mes_ID_0x19850044_CAN_FRAME</t>
  </si>
  <si>
    <t>Mes_ID_0x19860044_CAN_FRAME</t>
  </si>
  <si>
    <t>Mes_ID_0x19870044_CAN_FRAME</t>
  </si>
  <si>
    <t>Mes_ID_0x19880044_CAN_FRAME</t>
  </si>
  <si>
    <t>Mes_ID_0x19890044_CAN_FRAME</t>
  </si>
  <si>
    <t>Mes_ID_0x198A0044_CAN_FRAME</t>
  </si>
  <si>
    <t>Mes_ID_0x198B0044_CAN_FRAME</t>
  </si>
  <si>
    <t>Mes_ID_0x198C0044_CAN_FRAME</t>
  </si>
  <si>
    <t>Mes_ID_0x198D0044_CAN_FRAME</t>
  </si>
  <si>
    <t>Mes_ID_0x198E0044_CAN_FRAME</t>
  </si>
  <si>
    <t>270VBMS_CANTx_1_01</t>
  </si>
  <si>
    <t>270V\28VBMS_CANTx_1_02</t>
  </si>
  <si>
    <t>Uplink_Msg_45</t>
  </si>
  <si>
    <t>270V\28VBMS_CANTx_1_03</t>
  </si>
  <si>
    <t>Uplink_Msg_46</t>
  </si>
  <si>
    <t>270V\28VBMS_CANTx_1_04</t>
  </si>
  <si>
    <t>Uplink_Msg_44</t>
  </si>
  <si>
    <t>270V\28VBMS_CANTx_1_05</t>
  </si>
  <si>
    <t>Uplink_Msg_50</t>
  </si>
  <si>
    <t>LBPCU_CANTx_0_01</t>
  </si>
  <si>
    <t>LBPCU</t>
  </si>
  <si>
    <t>Mes_ID_0x10010010_CAN_FRAME</t>
  </si>
  <si>
    <t>Mes_ID_0x10020010_CAN_FRAME</t>
  </si>
  <si>
    <t>Mes_ID_0x10030010_CAN_FRAME</t>
  </si>
  <si>
    <t>Mes_ID_0x10040010_CAN_FRAME</t>
  </si>
  <si>
    <t>Mes_ID_0x10050010_CAN_FRAME</t>
  </si>
  <si>
    <t>Mes_ID_0x10060010_CAN_FRAME</t>
  </si>
  <si>
    <t>Mes_ID_0x10070010_CAN_FRAME</t>
  </si>
  <si>
    <t>Mes_ID_0x10080010_CAN_FRAME</t>
  </si>
  <si>
    <t>Mes_ID_0x10090010_CAN_FRAME</t>
  </si>
  <si>
    <t>Mes_ID_0x100A0010_CAN_FRAME</t>
  </si>
  <si>
    <t>Mes_ID_0x100C0010_CAN_FRAME</t>
  </si>
  <si>
    <t>Mes_ID_0x100D0010_CAN_FRAME</t>
  </si>
  <si>
    <t>Mes_ID_0x100E0010_CAN_FRAME</t>
  </si>
  <si>
    <t>Mes_ID_0x100F0010_CAN_FRAME</t>
  </si>
  <si>
    <t>Mes_ID_0x10100010_CAN_FRAME</t>
  </si>
  <si>
    <t>Mes_ID_0x10110010_CAN_FRAME</t>
  </si>
  <si>
    <t>Mes_ID_0x10120010_CAN_FRAME</t>
  </si>
  <si>
    <t>Mes_ID_0x10130010_CAN_FRAME</t>
  </si>
  <si>
    <t>Mes_ID_0x10140010_CAN_FRAME</t>
  </si>
  <si>
    <t>Mes_ID_0x10150010_CAN_FRAME</t>
  </si>
  <si>
    <t>Mes_ID_0x10160010_CAN_FRAME</t>
  </si>
  <si>
    <t>Mes_ID_0x10170010_CAN_FRAME</t>
  </si>
  <si>
    <t>Mes_ID_0x10180010_CAN_FRAME</t>
  </si>
  <si>
    <t>Mes_ID_0x10190010_CAN_FRAME</t>
  </si>
  <si>
    <t>Mes_ID_0x101A0010_CAN_FRAME</t>
  </si>
  <si>
    <t>Mes_ID_0x101B0010_CAN_FRAME</t>
  </si>
  <si>
    <t>Mes_ID_0x101C0010_CAN_FRAME</t>
  </si>
  <si>
    <t>Mes_ID_0x101D0010_CAN_FRAME</t>
  </si>
  <si>
    <t>Mes_ID_0x101E0010_CAN_FRAME</t>
  </si>
  <si>
    <t>Mes_ID_0x101F0010_CAN_FRAME</t>
  </si>
  <si>
    <t>Mes_ID_0x10200010_CAN_FRAME</t>
  </si>
  <si>
    <t>Mes_ID_0x10210010_CAN_FRAME</t>
  </si>
  <si>
    <t>Mes_ID_0x10220010_CAN_FRAME</t>
  </si>
  <si>
    <t>Mes_ID_0x10230010_CAN_FRAME</t>
  </si>
  <si>
    <t>Mes_ID_0x10240010_CAN_FRAME</t>
  </si>
  <si>
    <t>Mes_ID_0x10250010_CAN_FRAME</t>
  </si>
  <si>
    <t>Mes_ID_0x10260010_CAN_FRAME</t>
  </si>
  <si>
    <t>Mes_ID_0x10270010_CAN_FRAME</t>
  </si>
  <si>
    <t>Mes_ID_0x10280010_CAN_FRAME</t>
  </si>
  <si>
    <t>Mes_ID_0x10290010_CAN_FRAME</t>
  </si>
  <si>
    <t>Mes_ID_0x102A0010_CAN_FRAME</t>
  </si>
  <si>
    <t>Mes_ID_0x102B0010_CAN_FRAME</t>
  </si>
  <si>
    <t>Mes_ID_0x102C0010_CAN_FRAME</t>
  </si>
  <si>
    <t>Mes_ID_0x102D0010_CAN_FRAME</t>
  </si>
  <si>
    <t>Mes_ID_0x102E0010_CAN_FRAME</t>
  </si>
  <si>
    <t>Mes_ID_0x102F0010_CAN_FRAME</t>
  </si>
  <si>
    <t>Mes_ID_0x10300010_CAN_FRAME</t>
  </si>
  <si>
    <t>Mes_ID_0x10310010_CAN_FRAME</t>
  </si>
  <si>
    <t>Mes_ID_0x10320010_CAN_FRAME</t>
  </si>
  <si>
    <t>Mes_ID_0x10330010_CAN_FRAME</t>
  </si>
  <si>
    <t>Mes_ID_0x10340010_CAN_FRAME</t>
  </si>
  <si>
    <t>Mes_ID_0x10350010_CAN_FRAME</t>
  </si>
  <si>
    <t>Mes_ID_0x10360010_CAN_FRAME</t>
  </si>
  <si>
    <t>Mes_ID_0x10370010_CAN_FRAME</t>
  </si>
  <si>
    <t>Mes_ID_0x10380010_CAN_FRAME</t>
  </si>
  <si>
    <t>Mes_ID_0x10390010_CAN_FRAME</t>
  </si>
  <si>
    <t>Mes_ID_0x103A0010_CAN_FRAME</t>
  </si>
  <si>
    <t>Mes_ID_0x103B0010_CAN_FRAME</t>
  </si>
  <si>
    <t>Mes_ID_0x103C0010_CAN_FRAME</t>
  </si>
  <si>
    <t>Mes_ID_0x103D0010_CAN_FRAME</t>
  </si>
  <si>
    <t>Mes_ID_0x103E0010_CAN_FRAME</t>
  </si>
  <si>
    <t>Mes_ID_0x103F0010_CAN_FRAME</t>
  </si>
  <si>
    <t>Mes_ID_0x10400010_CAN_FRAME</t>
  </si>
  <si>
    <t>Mes_ID_0x10410010_CAN_FRAME</t>
  </si>
  <si>
    <t>Mes_ID_0x10420010_CAN_FRAME</t>
  </si>
  <si>
    <t>Mes_ID_0x100B0010_CAN_FRAME</t>
  </si>
  <si>
    <t>Mes_ID_0x10504010_CAN_FRAME</t>
  </si>
  <si>
    <t>Uplink_Msg_51</t>
  </si>
  <si>
    <t>LBPCU_CANTx_1_01</t>
  </si>
  <si>
    <t>Uplink_Msg_52</t>
  </si>
  <si>
    <t>RBPCU_CANTx_0_01</t>
  </si>
  <si>
    <t>RBPCU</t>
  </si>
  <si>
    <t>Mes_ID_0x10010020_CAN_FRAME</t>
  </si>
  <si>
    <t>Mes_ID_0x10020020_CAN_FRAME</t>
  </si>
  <si>
    <t>Mes_ID_0x10030020_CAN_FRAME</t>
  </si>
  <si>
    <t>Mes_ID_0x10040020_CAN_FRAME</t>
  </si>
  <si>
    <t>Mes_ID_0x10050020_CAN_FRAME</t>
  </si>
  <si>
    <t>Mes_ID_0x10060020_CAN_FRAME</t>
  </si>
  <si>
    <t>Mes_ID_0x10070020_CAN_FRAME</t>
  </si>
  <si>
    <t>Mes_ID_0x10080020_CAN_FRAME</t>
  </si>
  <si>
    <t>Mes_ID_0x10090020_CAN_FRAME</t>
  </si>
  <si>
    <t>Mes_ID_0x100A0020_CAN_FRAME</t>
  </si>
  <si>
    <t>Mes_ID_0x100C0020_CAN_FRAME</t>
  </si>
  <si>
    <t>Mes_ID_0x100D0020_CAN_FRAME</t>
  </si>
  <si>
    <t>Mes_ID_0x100E0020_CAN_FRAME</t>
  </si>
  <si>
    <t>Mes_ID_0x100F0020_CAN_FRAME</t>
  </si>
  <si>
    <t>Mes_ID_0x10100020_CAN_FRAME</t>
  </si>
  <si>
    <t>Mes_ID_0x10110020_CAN_FRAME</t>
  </si>
  <si>
    <t>Mes_ID_0x10120020_CAN_FRAME</t>
  </si>
  <si>
    <t>Mes_ID_0x10130020_CAN_FRAME</t>
  </si>
  <si>
    <t>Mes_ID_0x10140020_CAN_FRAME</t>
  </si>
  <si>
    <t>Mes_ID_0x10150020_CAN_FRAME</t>
  </si>
  <si>
    <t>Mes_ID_0x10160020_CAN_FRAME</t>
  </si>
  <si>
    <t>Mes_ID_0x10170020_CAN_FRAME</t>
  </si>
  <si>
    <t>Mes_ID_0x10180020_CAN_FRAME</t>
  </si>
  <si>
    <t>Mes_ID_0x10190020_CAN_FRAME</t>
  </si>
  <si>
    <t>Mes_ID_0x101A0020_CAN_FRAME</t>
  </si>
  <si>
    <t>Mes_ID_0x101B0020_CAN_FRAME</t>
  </si>
  <si>
    <t>Mes_ID_0x101C0020_CAN_FRAME</t>
  </si>
  <si>
    <t>Mes_ID_0x101D0020_CAN_FRAME</t>
  </si>
  <si>
    <t>Mes_ID_0x101E0020_CAN_FRAME</t>
  </si>
  <si>
    <t>Mes_ID_0x101F0020_CAN_FRAME</t>
  </si>
  <si>
    <t>Mes_ID_0x10200020_CAN_FRAME</t>
  </si>
  <si>
    <t>Mes_ID_0x10210020_CAN_FRAME</t>
  </si>
  <si>
    <t>Mes_ID_0x10220020_CAN_FRAME</t>
  </si>
  <si>
    <t>Mes_ID_0x10230020_CAN_FRAME</t>
  </si>
  <si>
    <t>Mes_ID_0x10240020_CAN_FRAME</t>
  </si>
  <si>
    <t>Mes_ID_0x10250020_CAN_FRAME</t>
  </si>
  <si>
    <t>Mes_ID_0x10260020_CAN_FRAME</t>
  </si>
  <si>
    <t>Mes_ID_0x10270020_CAN_FRAME</t>
  </si>
  <si>
    <t>Mes_ID_0x10280020_CAN_FRAME</t>
  </si>
  <si>
    <t>Mes_ID_0x10290020_CAN_FRAME</t>
  </si>
  <si>
    <t>Mes_ID_0x102A0020_CAN_FRAME</t>
  </si>
  <si>
    <t>Mes_ID_0x102B0020_CAN_FRAME</t>
  </si>
  <si>
    <t>Mes_ID_0x102C0020_CAN_FRAME</t>
  </si>
  <si>
    <t>Mes_ID_0x102D0020_CAN_FRAME</t>
  </si>
  <si>
    <t>Mes_ID_0x102E0020_CAN_FRAME</t>
  </si>
  <si>
    <t>Mes_ID_0x102F0020_CAN_FRAME</t>
  </si>
  <si>
    <t>Mes_ID_0x10300020_CAN_FRAME</t>
  </si>
  <si>
    <t>Mes_ID_0x10310020_CAN_FRAME</t>
  </si>
  <si>
    <t>Mes_ID_0x10320020_CAN_FRAME</t>
  </si>
  <si>
    <t>Mes_ID_0x10330020_CAN_FRAME</t>
  </si>
  <si>
    <t>Mes_ID_0x10340020_CAN_FRAME</t>
  </si>
  <si>
    <t>Mes_ID_0x10350020_CAN_FRAME</t>
  </si>
  <si>
    <t>Mes_ID_0x10360020_CAN_FRAME</t>
  </si>
  <si>
    <t>Mes_ID_0x10370020_CAN_FRAME</t>
  </si>
  <si>
    <t>Mes_ID_0x10380020_CAN_FRAME</t>
  </si>
  <si>
    <t>Mes_ID_0x10390020_CAN_FRAME</t>
  </si>
  <si>
    <t>Mes_ID_0x103A0020_CAN_FRAME</t>
  </si>
  <si>
    <t>Mes_ID_0x103B0020_CAN_FRAME</t>
  </si>
  <si>
    <t>Mes_ID_0x103C0020_CAN_FRAME</t>
  </si>
  <si>
    <t>Mes_ID_0x103D0020_CAN_FRAME</t>
  </si>
  <si>
    <t>Mes_ID_0x103E0020_CAN_FRAME</t>
  </si>
  <si>
    <t>Mes_ID_0x103F0020_CAN_FRAME</t>
  </si>
  <si>
    <t>Mes_ID_0x10400020_CAN_FRAME</t>
  </si>
  <si>
    <t>Mes_ID_0x10410020_CAN_FRAME</t>
  </si>
  <si>
    <t>Mes_ID_0x10420020_CAN_FRAME</t>
  </si>
  <si>
    <t>Mes_ID_0x100B0020_CAN_FRAME</t>
  </si>
  <si>
    <t>Mes_ID_0x10504020_CAN_FRAME</t>
  </si>
  <si>
    <t>Uplink_Msg_53</t>
  </si>
  <si>
    <t>RBPCU_CANTx_1_01</t>
  </si>
  <si>
    <t>Uplink_Msg_54</t>
  </si>
  <si>
    <t>EMPC__CANTx_0_01</t>
  </si>
  <si>
    <t>EMPC</t>
  </si>
  <si>
    <t>Mes_ID_0x10010030_CAN_FRAME</t>
  </si>
  <si>
    <t>Mes_ID_0x10020030_CAN_FRAME</t>
  </si>
  <si>
    <t>DIU:PortID</t>
  </si>
  <si>
    <t>Mes_ID_0x10030030_CAN_FRAME</t>
  </si>
  <si>
    <t>Mes_ID_0x10040030_CAN_FRAME</t>
  </si>
  <si>
    <t>Mes_ID_0x10050030_CAN_FRAME</t>
  </si>
  <si>
    <t>Mes_ID_0x10060030_CAN_FRAME</t>
  </si>
  <si>
    <t>Mes_ID_0x10070030_CAN_FRAME</t>
  </si>
  <si>
    <t>Mes_ID_0x10080030_CAN_FRAME</t>
  </si>
  <si>
    <t>Mes_ID_0x10090030_CAN_FRAME</t>
  </si>
  <si>
    <t>Mes_ID_0x100A0030_CAN_FRAME</t>
  </si>
  <si>
    <t>Mes_ID_0x100B0030_CAN_FRAME</t>
  </si>
  <si>
    <t>Mes_ID_0x10504030_CAN_FRAME</t>
  </si>
  <si>
    <t>Uplink_Msg_55</t>
  </si>
  <si>
    <t>EMPC__CANTx_1_01</t>
  </si>
  <si>
    <t>Uplink_Msg_70</t>
  </si>
  <si>
    <t>空地计算机1_RS422_Tx</t>
  </si>
  <si>
    <r>
      <rPr>
        <sz val="11"/>
        <color theme="1"/>
        <rFont val="宋体"/>
        <charset val="134"/>
      </rPr>
      <t>空地计算机</t>
    </r>
    <r>
      <rPr>
        <sz val="11"/>
        <color theme="1"/>
        <rFont val="Times New Roman"/>
        <charset val="134"/>
      </rPr>
      <t>1</t>
    </r>
  </si>
  <si>
    <t>239.100.1.1</t>
  </si>
  <si>
    <t>空地计算机2_RS422_Tx</t>
  </si>
  <si>
    <r>
      <rPr>
        <sz val="11"/>
        <color theme="1"/>
        <rFont val="宋体"/>
        <charset val="134"/>
      </rPr>
      <t>空地计算机</t>
    </r>
    <r>
      <rPr>
        <sz val="11"/>
        <color theme="1"/>
        <rFont val="Times New Roman"/>
        <charset val="134"/>
      </rPr>
      <t>2</t>
    </r>
  </si>
  <si>
    <t>Uplink_Msg_71</t>
  </si>
  <si>
    <t>空地计算机1_RS422_Tx2</t>
  </si>
  <si>
    <t>R422Tx_02</t>
  </si>
  <si>
    <t>空地计算机2_RS422_T2</t>
  </si>
  <si>
    <t>Uplink_Msg_76</t>
  </si>
  <si>
    <t>收放控制单元1_A429Tx_01_01</t>
  </si>
  <si>
    <t>收放控制单元1</t>
  </si>
  <si>
    <t>239.100.6.113</t>
  </si>
  <si>
    <t>L271</t>
  </si>
  <si>
    <t>L273</t>
  </si>
  <si>
    <t>L274</t>
  </si>
  <si>
    <t>L275</t>
  </si>
  <si>
    <t>L276</t>
  </si>
  <si>
    <t>L351</t>
  </si>
  <si>
    <t>L354</t>
  </si>
  <si>
    <t>L355</t>
  </si>
  <si>
    <t>L360</t>
  </si>
  <si>
    <t>L361</t>
  </si>
  <si>
    <t>L367</t>
  </si>
  <si>
    <r>
      <rPr>
        <sz val="11"/>
        <color theme="1"/>
        <rFont val="宋体"/>
        <charset val="134"/>
      </rPr>
      <t>收放控制单元</t>
    </r>
    <r>
      <rPr>
        <sz val="11"/>
        <color theme="1"/>
        <rFont val="Times New Roman"/>
        <charset val="134"/>
      </rPr>
      <t>1_A429Tx_02_01</t>
    </r>
  </si>
  <si>
    <t>监控通道只发送L103</t>
  </si>
  <si>
    <t>Uplink_Msg_77</t>
  </si>
  <si>
    <r>
      <rPr>
        <sz val="11"/>
        <color theme="1"/>
        <rFont val="宋体"/>
        <charset val="134"/>
      </rPr>
      <t>收放控制单元2</t>
    </r>
    <r>
      <rPr>
        <sz val="11"/>
        <color theme="1"/>
        <rFont val="Times New Roman"/>
        <charset val="134"/>
      </rPr>
      <t>_A429Tx_01_01</t>
    </r>
  </si>
  <si>
    <t>收放控制单元2</t>
  </si>
  <si>
    <r>
      <rPr>
        <sz val="11"/>
        <color theme="1"/>
        <rFont val="宋体"/>
        <charset val="134"/>
      </rPr>
      <t>收放控制单元2</t>
    </r>
    <r>
      <rPr>
        <sz val="11"/>
        <color theme="1"/>
        <rFont val="Times New Roman"/>
        <charset val="134"/>
      </rPr>
      <t>_A429Tx_02_01</t>
    </r>
  </si>
  <si>
    <t>监控通道只发送L115，L113后续需要更改为L115.</t>
  </si>
  <si>
    <t>L115</t>
  </si>
  <si>
    <t>Uplink_Msg_82</t>
  </si>
  <si>
    <t>正常刹车控制器_A429Tx_01_01</t>
  </si>
  <si>
    <t>正常刹车控制器</t>
  </si>
  <si>
    <t>239.100.6.13</t>
  </si>
  <si>
    <t>L051</t>
  </si>
  <si>
    <t>L004</t>
  </si>
  <si>
    <t>L005</t>
  </si>
  <si>
    <t>L006</t>
  </si>
  <si>
    <t>L007</t>
  </si>
  <si>
    <t>L002</t>
  </si>
  <si>
    <t>L003</t>
  </si>
  <si>
    <t>L352</t>
  </si>
  <si>
    <t>L060</t>
  </si>
  <si>
    <t>L061</t>
  </si>
  <si>
    <t>L062</t>
  </si>
  <si>
    <t>L063</t>
  </si>
  <si>
    <t>L070</t>
  </si>
  <si>
    <t>L071</t>
  </si>
  <si>
    <t>L072</t>
  </si>
  <si>
    <t>L073</t>
  </si>
  <si>
    <t>L116</t>
  </si>
  <si>
    <t>L117</t>
  </si>
  <si>
    <t>L170</t>
  </si>
  <si>
    <t>L171</t>
  </si>
  <si>
    <t>L172</t>
  </si>
  <si>
    <t>L173</t>
  </si>
  <si>
    <t>L174</t>
  </si>
  <si>
    <t>L175</t>
  </si>
  <si>
    <t>L353</t>
  </si>
  <si>
    <t>Uplink_Msg_83</t>
  </si>
  <si>
    <t>正常刹车控制器_A429Tx_02_01</t>
  </si>
  <si>
    <t>Uplink_Msg_84</t>
  </si>
  <si>
    <t>备份刹车控制器_A429Tx_01_01</t>
  </si>
  <si>
    <t>备份刹车控制器</t>
  </si>
  <si>
    <t>Uplink_Msg_85</t>
  </si>
  <si>
    <t>备份刹车控制器_A429Tx_02_01</t>
  </si>
  <si>
    <t>Uplink_Msg_78</t>
  </si>
  <si>
    <t>S模式应答机_A429Tx_01</t>
  </si>
  <si>
    <t>S模式应答机</t>
  </si>
  <si>
    <t>L031</t>
  </si>
  <si>
    <t>L261</t>
  </si>
  <si>
    <t>L331</t>
  </si>
  <si>
    <t>L332</t>
  </si>
  <si>
    <t>Uplink_Msg_79</t>
  </si>
  <si>
    <r>
      <rPr>
        <sz val="11"/>
        <color theme="1"/>
        <rFont val="Times New Roman"/>
        <charset val="134"/>
      </rPr>
      <t>S</t>
    </r>
    <r>
      <rPr>
        <sz val="11"/>
        <color theme="1"/>
        <rFont val="宋体"/>
        <charset val="134"/>
      </rPr>
      <t>模式应答机</t>
    </r>
    <r>
      <rPr>
        <sz val="11"/>
        <color theme="1"/>
        <rFont val="Times New Roman"/>
        <charset val="134"/>
      </rPr>
      <t>_A429Tx_02</t>
    </r>
  </si>
  <si>
    <r>
      <rPr>
        <sz val="11"/>
        <color theme="1"/>
        <rFont val="Times New Roman"/>
        <charset val="134"/>
      </rPr>
      <t>S</t>
    </r>
    <r>
      <rPr>
        <sz val="11"/>
        <color theme="1"/>
        <rFont val="宋体"/>
        <charset val="134"/>
      </rPr>
      <t>模式应答机</t>
    </r>
  </si>
  <si>
    <t>L133</t>
  </si>
  <si>
    <t>L134</t>
  </si>
  <si>
    <t>L135</t>
  </si>
  <si>
    <t>L136</t>
  </si>
  <si>
    <t>L141</t>
  </si>
  <si>
    <t>L142</t>
  </si>
  <si>
    <t>L143</t>
  </si>
  <si>
    <t>L144</t>
  </si>
  <si>
    <t>L145</t>
  </si>
  <si>
    <t>L146</t>
  </si>
  <si>
    <t>L147</t>
  </si>
  <si>
    <t>L151</t>
  </si>
  <si>
    <t>L152</t>
  </si>
  <si>
    <t>L153</t>
  </si>
  <si>
    <t>L155</t>
  </si>
  <si>
    <t>L156</t>
  </si>
  <si>
    <t>L157</t>
  </si>
  <si>
    <t>L160</t>
  </si>
  <si>
    <t>L161</t>
  </si>
  <si>
    <t>L162</t>
  </si>
  <si>
    <t>L357</t>
  </si>
  <si>
    <t>待转换TSN设备消息名称</t>
  </si>
  <si>
    <t>待转换TSN源端</t>
  </si>
  <si>
    <t>DataSet目的端设备名称</t>
  </si>
  <si>
    <t>DataSet传递路径</t>
  </si>
  <si>
    <t>DIU编号集合</t>
  </si>
  <si>
    <t>DIU消息接收形式</t>
  </si>
  <si>
    <t>TSN消息源端IP</t>
  </si>
  <si>
    <r>
      <rPr>
        <b/>
        <sz val="11"/>
        <color theme="1"/>
        <rFont val="宋体"/>
        <charset val="134"/>
      </rPr>
      <t>承接转换的</t>
    </r>
    <r>
      <rPr>
        <b/>
        <sz val="11"/>
        <color theme="1"/>
        <rFont val="Times New Roman"/>
        <charset val="134"/>
      </rPr>
      <t>DIU IP</t>
    </r>
  </si>
  <si>
    <t>数据实际路径</t>
  </si>
  <si>
    <t>DIU编号</t>
  </si>
  <si>
    <t>最终接收端设备</t>
  </si>
  <si>
    <t>Downlink_Msg_01</t>
  </si>
  <si>
    <t>APP_FMS01_800VBMS_CAN</t>
  </si>
  <si>
    <t>APP_FMS01</t>
  </si>
  <si>
    <t>800VBMS</t>
  </si>
  <si>
    <t>DIU4：800VBMS_CAN_RX1、DIU5：800VBMS_CAN_RX0</t>
  </si>
  <si>
    <t>DIU4&amp;DIU5</t>
  </si>
  <si>
    <t>多播</t>
  </si>
  <si>
    <t>192.168.2.21</t>
  </si>
  <si>
    <t>192.168.2.204、
192.168.2.205</t>
  </si>
  <si>
    <t>239.100.0.49</t>
  </si>
  <si>
    <t>DIU4、DIU5</t>
  </si>
  <si>
    <t>Mes_ID_0x10010001_CAN_FRAME</t>
  </si>
  <si>
    <t>DIU5：1502202，DIU4：1402202</t>
  </si>
  <si>
    <t>Downlink_Msg_09</t>
  </si>
  <si>
    <t>APP_FMS02_800VBMS_CAN</t>
  </si>
  <si>
    <t>APP_FMS02</t>
  </si>
  <si>
    <t>192.168.2.23</t>
  </si>
  <si>
    <t>Mes_ID_0x10010002_CAN_FRAME</t>
  </si>
  <si>
    <t>Downlink_Msg_02</t>
  </si>
  <si>
    <t>APP_FMS01_270VVBMS_CAN</t>
  </si>
  <si>
    <t>270VBMS</t>
  </si>
  <si>
    <t>DIU4：270VBMS_CAN_RX0、DIU5：270VBMS_CAN_RX1</t>
  </si>
  <si>
    <t>192.168.2.204、
192.168.2.206</t>
  </si>
  <si>
    <t>239.100.0.81</t>
  </si>
  <si>
    <t>DIU4、DIU6</t>
  </si>
  <si>
    <t>Mes_ID_0x11010001_CAN_FRAME</t>
  </si>
  <si>
    <t>DIU6：1602202，DIU4：1402201</t>
  </si>
  <si>
    <t>Downlink_Msg_10</t>
  </si>
  <si>
    <t>Mes_ID_0x11010002_CAN_FRAME</t>
  </si>
  <si>
    <t>Downlink_Msg_03</t>
  </si>
  <si>
    <t>APP_FMS01_ADC1/ADC2/ADC3</t>
  </si>
  <si>
    <t>192.168.2.201、
192.168.2.202、192.168.2.203</t>
  </si>
  <si>
    <t>239.100.0.15</t>
  </si>
  <si>
    <t>包含两个20ms周期数据</t>
  </si>
  <si>
    <t>DIU1、DIU2、DIU3</t>
  </si>
  <si>
    <t>ADC1、ADC2、ADC3</t>
  </si>
  <si>
    <t>DIU1：1101003，DIU2：1201003，DIU3：1301004</t>
  </si>
  <si>
    <t>Downlink_Msg_05</t>
  </si>
  <si>
    <t>事件性消息</t>
  </si>
  <si>
    <t>DIU1：1101002，DIU2：1201002，DIU3：1301003</t>
  </si>
  <si>
    <t>Downlink_Msg_07</t>
  </si>
  <si>
    <t>DIU1：1101001，DIU2：1201001，DIU3：1301002</t>
  </si>
  <si>
    <t>APP_FMS02_ADC1/ADC2/ADC3</t>
  </si>
  <si>
    <t>Downlink_Msg_11</t>
  </si>
  <si>
    <t>APP_FMS01_空地计算机01/02</t>
  </si>
  <si>
    <t>空地计算机01、空地计算机02</t>
  </si>
  <si>
    <t>空地计算机01_RS422_RX01、空地计算机02_RS422_RX01</t>
  </si>
  <si>
    <t>DIU3、DIU1</t>
  </si>
  <si>
    <t>192.168.2.201、192.168.2.203</t>
  </si>
  <si>
    <t>239.100.0.11</t>
  </si>
  <si>
    <t>DIU1、DIU3</t>
  </si>
  <si>
    <t>空地计算机01</t>
  </si>
  <si>
    <t>DIU1：1103201，DIU3：1303202</t>
  </si>
  <si>
    <t>Downlink_Msg_12</t>
  </si>
  <si>
    <t>APP_FMS02_空地计算机01/02</t>
  </si>
  <si>
    <t>空地计算机02</t>
  </si>
  <si>
    <t>Downlink_Msg_14</t>
  </si>
  <si>
    <t>DIU2_APP</t>
  </si>
  <si>
    <t>192.168.2.202</t>
  </si>
  <si>
    <t>192.168.2.203</t>
  </si>
  <si>
    <t>S模式接收机</t>
  </si>
  <si>
    <t>DIU3：1301009</t>
  </si>
  <si>
    <t>Downlink_Msg_15</t>
  </si>
  <si>
    <t>APP_FMS01_XPDR</t>
  </si>
  <si>
    <t>239.100.0.9</t>
  </si>
  <si>
    <t xml:space="preserve">FMS发送周期为500ms
</t>
  </si>
  <si>
    <t>L125</t>
  </si>
  <si>
    <t>L317</t>
  </si>
  <si>
    <t>L322</t>
  </si>
  <si>
    <t>L365</t>
  </si>
  <si>
    <t>L366</t>
  </si>
  <si>
    <t>L267</t>
  </si>
  <si>
    <t>APP_FMS02_XPDR</t>
  </si>
  <si>
    <t>Downlink_Msg_16</t>
  </si>
  <si>
    <t>FCC01_转弯控制器</t>
  </si>
  <si>
    <t>APP_FCC01</t>
  </si>
  <si>
    <t>1201007、1301011</t>
  </si>
  <si>
    <t>DIU2、DIU3</t>
  </si>
  <si>
    <t>192.168.2.7</t>
  </si>
  <si>
    <t>192.168.2.202、
192.168.2.203</t>
  </si>
  <si>
    <t>239.100.0.13</t>
  </si>
  <si>
    <t>DIU2：1201007，DIU3：1301011</t>
  </si>
  <si>
    <t>L374</t>
  </si>
  <si>
    <t>Downlink_Msg_17</t>
  </si>
  <si>
    <t>FCC02_转弯控制器</t>
  </si>
  <si>
    <t>APP_FCC02</t>
  </si>
  <si>
    <t>192.168.2.8</t>
  </si>
  <si>
    <t>L375</t>
  </si>
  <si>
    <t>Downlink_Msg_18</t>
  </si>
  <si>
    <t>FCC03_转弯控制器</t>
  </si>
  <si>
    <t>APP_FCC03</t>
  </si>
  <si>
    <t>192.168.2.9</t>
  </si>
  <si>
    <t>L356</t>
  </si>
  <si>
    <t>L376</t>
  </si>
  <si>
    <t>Downlink_Msg_24</t>
  </si>
  <si>
    <t>正常刹车_DIU4_DIU2&amp;DIU3转弯控制器</t>
  </si>
  <si>
    <t>DIU2_APP&amp;DIU3_APP</t>
  </si>
  <si>
    <t>192.168.2.204</t>
  </si>
  <si>
    <t>转弯控制器和刹车控制器对已L051和L351的接收不一致。</t>
  </si>
  <si>
    <t>Downlink_Msg_25</t>
  </si>
  <si>
    <t>正常刹车_DIU6_DIU2&amp;DIU3转弯控制器</t>
  </si>
  <si>
    <t>192.168.2.206</t>
  </si>
  <si>
    <t>Downlink_Msg_26</t>
  </si>
  <si>
    <t>备份刹车_DIU5_DIU2&amp;DIU3转弯控制器</t>
  </si>
  <si>
    <t>192.168.2.205</t>
  </si>
  <si>
    <t>Downlink_Msg_27</t>
  </si>
  <si>
    <t>备份刹车_DIU6_DIU2&amp;DIU3转弯控制器</t>
  </si>
  <si>
    <t>Downlink_Msg_28</t>
  </si>
  <si>
    <t>收放01_DIU6_DIU4&amp;DIU5&amp;DIU6_正常刹车&amp;备份刹车</t>
  </si>
  <si>
    <t>DIU4_APP&amp;DIU5_APP&amp;DIU6_APP</t>
  </si>
  <si>
    <t>1401006、1501005、1601008、1601006</t>
  </si>
  <si>
    <t>DIU4、DIU5、DIU6</t>
  </si>
  <si>
    <t xml:space="preserve">192.168.2.204、
192.168.2.205
</t>
  </si>
  <si>
    <t>注意：1、存在一个TSN消息通过DIU6转到两个429通道的情况；2、按照刹车系统要求只转发DIU2上的TSN消息。（目前该版本删除了DIU6：1601008端口配置）</t>
  </si>
  <si>
    <t>正常刹车&amp;备份刹车</t>
  </si>
  <si>
    <t>DIU4：1401006，DIU5：1501005</t>
  </si>
  <si>
    <t>Downlink_Msg_29</t>
  </si>
  <si>
    <t>收放02_DIU6_DIU4&amp;DIU5&amp;DIU6正常刹车&amp;备份刹车</t>
  </si>
  <si>
    <t>192.168.2.201</t>
  </si>
  <si>
    <t>Downlink_Msg_20</t>
  </si>
  <si>
    <t>FCC01_收放控制器</t>
  </si>
  <si>
    <t>收放控制器</t>
  </si>
  <si>
    <t>1201006、1301010、1101008、1201005</t>
  </si>
  <si>
    <t>192.168.2.201、192.168.2.202、
192.168.2.203</t>
  </si>
  <si>
    <t>DIU1：1101008，DIU2：1201005</t>
  </si>
  <si>
    <t>L305N</t>
  </si>
  <si>
    <t>DIU2：1201006，DIU3：1301010</t>
  </si>
  <si>
    <t>Downlink_Msg_21</t>
  </si>
  <si>
    <t>FCC02_收放控制器</t>
  </si>
  <si>
    <t>L306N</t>
  </si>
  <si>
    <t>Downlink_Msg_22</t>
  </si>
  <si>
    <t>FCC03_收放控制器</t>
  </si>
  <si>
    <t>L307N</t>
  </si>
  <si>
    <t>Downlink_Msg_23</t>
  </si>
  <si>
    <t>FCC04_收放控制器</t>
  </si>
  <si>
    <t>APP_FCC04</t>
  </si>
  <si>
    <t>L310N</t>
  </si>
  <si>
    <t>APP_FMS01_惯性导航设备1</t>
  </si>
  <si>
    <t>IRS（惯性基准系统）1</t>
  </si>
  <si>
    <t>包含事件和周期</t>
  </si>
  <si>
    <t>DIU3：1303201</t>
  </si>
  <si>
    <t>APP_FMS01_惯性导航设备2</t>
  </si>
  <si>
    <t>IRS2（惯性基准系统）2</t>
  </si>
  <si>
    <t>239.100.0.5</t>
  </si>
  <si>
    <t>DIU2：1203201</t>
  </si>
  <si>
    <t>APP_FMS01_惯性导航设备3</t>
  </si>
  <si>
    <t>IRS（惯性基准系统）3</t>
  </si>
  <si>
    <t>239.100.0.17</t>
  </si>
  <si>
    <t>DIU4：1403201</t>
  </si>
  <si>
    <t>APP_FMS02_惯性导航设备1</t>
  </si>
  <si>
    <t>APP_FMS02_惯性导航设备2</t>
  </si>
  <si>
    <t>APP_FMS02_惯性导航设备3</t>
  </si>
  <si>
    <t>FCC01_正常刹车&amp;备份刹车</t>
  </si>
  <si>
    <t>192.168.2.204、
192.168.2.205、
192.168.2.206</t>
  </si>
  <si>
    <t>239.100.0.113</t>
  </si>
  <si>
    <t>注意：1、Label号后续需要更新；2、由于刹车两个通道接到DIU6上，如果DIU上每个通道都需要转换的话，需要每个Label号数据发送两次，所以飞控编码需要按照这个协议来，若后续能够确定起落架冗余数据有变动可以更改消息结构。</t>
  </si>
  <si>
    <t>DIU4：1401006，DIU6：1601006</t>
  </si>
  <si>
    <t>L312N</t>
  </si>
  <si>
    <t>DIU5：1501005，DIU6：1601008</t>
  </si>
  <si>
    <t>L362</t>
  </si>
  <si>
    <t>L362N</t>
  </si>
  <si>
    <t>L001</t>
  </si>
  <si>
    <t>L001N</t>
  </si>
  <si>
    <t>L005N</t>
  </si>
  <si>
    <t>L011</t>
  </si>
  <si>
    <t>L011N</t>
  </si>
  <si>
    <t>FCC02_正常刹车&amp;备份刹车</t>
  </si>
  <si>
    <t>L313N</t>
  </si>
  <si>
    <t>L363</t>
  </si>
  <si>
    <t>L363N</t>
  </si>
  <si>
    <t>L002N</t>
  </si>
  <si>
    <t>L006N</t>
  </si>
  <si>
    <t>L012</t>
  </si>
  <si>
    <t>L012N</t>
  </si>
  <si>
    <t>FCC03_正常刹车&amp;备份刹车</t>
  </si>
  <si>
    <t>L314N</t>
  </si>
  <si>
    <t>L364N</t>
  </si>
  <si>
    <t>L003N</t>
  </si>
  <si>
    <t>L007N</t>
  </si>
  <si>
    <t>L013</t>
  </si>
  <si>
    <t>L013N</t>
  </si>
  <si>
    <t>APP_FMS01_灯光系统</t>
  </si>
  <si>
    <t>灯光系统</t>
  </si>
  <si>
    <t>Mes_ID_0x10051000_CAN_FRAME</t>
  </si>
  <si>
    <t>Mes_ID_0x10052000_CAN_FRAME</t>
  </si>
  <si>
    <t>APP_FMS02_灯光系统</t>
  </si>
  <si>
    <t>Downlink_Msg_30</t>
  </si>
  <si>
    <t>FMS_5GATG</t>
  </si>
  <si>
    <t>APP_FMS1</t>
  </si>
  <si>
    <t>5GATGCPE</t>
  </si>
  <si>
    <t>L132</t>
  </si>
  <si>
    <t>DIU6：1601003</t>
  </si>
  <si>
    <t>L254</t>
  </si>
  <si>
    <t>L255</t>
  </si>
  <si>
    <t>L324</t>
  </si>
  <si>
    <t>L325</t>
  </si>
  <si>
    <t>Downlink_Msg_31</t>
  </si>
  <si>
    <t>L150</t>
  </si>
  <si>
    <t>L260</t>
  </si>
  <si>
    <t>Downlink_Msg_32</t>
  </si>
  <si>
    <t>DIU6：1601004</t>
  </si>
  <si>
    <t>Downlink_Msg_33</t>
  </si>
  <si>
    <r>
      <rPr>
        <b/>
        <sz val="11"/>
        <color theme="1"/>
        <rFont val="宋体"/>
        <charset val="134"/>
      </rPr>
      <t>消息目的设备</t>
    </r>
  </si>
  <si>
    <t>TSN_Msg_1</t>
  </si>
  <si>
    <t>FMS1_TSN_01</t>
  </si>
  <si>
    <r>
      <rPr>
        <sz val="11"/>
        <color theme="1"/>
        <rFont val="宋体"/>
        <charset val="134"/>
      </rPr>
      <t>显控计算机</t>
    </r>
    <r>
      <rPr>
        <sz val="11"/>
        <color theme="1"/>
        <rFont val="Times New Roman"/>
        <charset val="134"/>
      </rPr>
      <t>-</t>
    </r>
    <r>
      <rPr>
        <sz val="11"/>
        <color theme="1"/>
        <rFont val="宋体"/>
        <charset val="134"/>
      </rPr>
      <t>飞管</t>
    </r>
    <r>
      <rPr>
        <sz val="11"/>
        <color theme="1"/>
        <rFont val="Times New Roman"/>
        <charset val="134"/>
      </rPr>
      <t>1</t>
    </r>
    <r>
      <rPr>
        <sz val="11"/>
        <color theme="1"/>
        <rFont val="宋体"/>
        <charset val="134"/>
      </rPr>
      <t>软件</t>
    </r>
  </si>
  <si>
    <t>TSN_01</t>
  </si>
  <si>
    <t>239.100.7.1</t>
  </si>
  <si>
    <t>100ms</t>
  </si>
  <si>
    <t>飞管状态数据（周期）</t>
  </si>
  <si>
    <r>
      <rPr>
        <sz val="11"/>
        <color theme="1"/>
        <rFont val="Times New Roman"/>
        <charset val="134"/>
      </rPr>
      <t>FCC1</t>
    </r>
    <r>
      <rPr>
        <sz val="11"/>
        <color theme="1"/>
        <rFont val="宋体"/>
        <charset val="134"/>
      </rPr>
      <t>、</t>
    </r>
    <r>
      <rPr>
        <sz val="11"/>
        <color theme="1"/>
        <rFont val="Times New Roman"/>
        <charset val="134"/>
      </rPr>
      <t>FCC2</t>
    </r>
    <r>
      <rPr>
        <sz val="11"/>
        <color theme="1"/>
        <rFont val="宋体"/>
        <charset val="134"/>
      </rPr>
      <t>、</t>
    </r>
    <r>
      <rPr>
        <sz val="11"/>
        <color theme="1"/>
        <rFont val="Times New Roman"/>
        <charset val="134"/>
      </rPr>
      <t>FCC3</t>
    </r>
    <r>
      <rPr>
        <sz val="11"/>
        <color theme="1"/>
        <rFont val="宋体"/>
        <charset val="134"/>
      </rPr>
      <t>、飞管、显控</t>
    </r>
  </si>
  <si>
    <r>
      <rPr>
        <sz val="11"/>
        <color theme="1"/>
        <rFont val="宋体"/>
        <charset val="134"/>
      </rPr>
      <t>结构体</t>
    </r>
    <r>
      <rPr>
        <sz val="11"/>
        <color theme="1"/>
        <rFont val="Times New Roman"/>
        <charset val="134"/>
      </rPr>
      <t>Block(</t>
    </r>
    <r>
      <rPr>
        <sz val="11"/>
        <color theme="1"/>
        <rFont val="宋体"/>
        <charset val="134"/>
      </rPr>
      <t>字节对齐</t>
    </r>
    <r>
      <rPr>
        <sz val="11"/>
        <color theme="1"/>
        <rFont val="Times New Roman"/>
        <charset val="134"/>
      </rPr>
      <t>TBD)</t>
    </r>
  </si>
  <si>
    <t>TSN_Msg_2</t>
  </si>
  <si>
    <t>FMS1_TSN_02</t>
  </si>
  <si>
    <t>20ms</t>
  </si>
  <si>
    <t>导航计算数据（周期）</t>
  </si>
  <si>
    <t>TSN_Msg_3</t>
  </si>
  <si>
    <t>FMS1_TSN_03</t>
  </si>
  <si>
    <t>时间计算数据（周期）</t>
  </si>
  <si>
    <t>TSN_Msg_4</t>
  </si>
  <si>
    <t>FMS1_TSN_04</t>
  </si>
  <si>
    <t>239.100.4.1</t>
  </si>
  <si>
    <t>200ms</t>
  </si>
  <si>
    <t>飞行任务数据（事件）</t>
  </si>
  <si>
    <r>
      <rPr>
        <sz val="11"/>
        <color theme="1"/>
        <rFont val="Times New Roman"/>
        <charset val="134"/>
      </rPr>
      <t>FCC1</t>
    </r>
    <r>
      <rPr>
        <sz val="11"/>
        <color theme="1"/>
        <rFont val="宋体"/>
        <charset val="134"/>
      </rPr>
      <t>、</t>
    </r>
    <r>
      <rPr>
        <sz val="11"/>
        <color theme="1"/>
        <rFont val="Times New Roman"/>
        <charset val="134"/>
      </rPr>
      <t>FCC2</t>
    </r>
    <r>
      <rPr>
        <sz val="11"/>
        <color theme="1"/>
        <rFont val="宋体"/>
        <charset val="134"/>
      </rPr>
      <t>、</t>
    </r>
    <r>
      <rPr>
        <sz val="11"/>
        <color theme="1"/>
        <rFont val="Times New Roman"/>
        <charset val="134"/>
      </rPr>
      <t>FCC3</t>
    </r>
  </si>
  <si>
    <t>TSN_Msg_5</t>
  </si>
  <si>
    <t>FMS1_TSN_05</t>
  </si>
  <si>
    <t>起飞跑道数据（事件）</t>
  </si>
  <si>
    <t>TSN_Msg_6</t>
  </si>
  <si>
    <t>FMS1_TSN_06</t>
  </si>
  <si>
    <t>降落跑道数据（事件）</t>
  </si>
  <si>
    <t>TSN_Msg_7</t>
  </si>
  <si>
    <t>FMS1_TSN_07</t>
  </si>
  <si>
    <t>1000ms</t>
  </si>
  <si>
    <t>性能计算数据（事件）</t>
  </si>
  <si>
    <t>TSN_Msg_8</t>
  </si>
  <si>
    <t>FMS1_TSN_08</t>
  </si>
  <si>
    <t>轨迹预测预测轨迹航段总数类数据（事件）</t>
  </si>
  <si>
    <t>TSN_Msg_9</t>
  </si>
  <si>
    <t>FMS1_TSN_09</t>
  </si>
  <si>
    <t>轨迹预测预测轨迹航段类数据（事件）</t>
  </si>
  <si>
    <t>TSN_Msg_10</t>
  </si>
  <si>
    <t>FMS1_TSN_10</t>
  </si>
  <si>
    <t>轨迹预测紧急返航预测轨迹航段总数类数据（事件）</t>
  </si>
  <si>
    <t>TSN_Msg_11</t>
  </si>
  <si>
    <t>FMS1_TSN_11</t>
  </si>
  <si>
    <t>轨迹预测紧急返航轨迹预测结果航段类数据（事件）</t>
  </si>
  <si>
    <t>TSN_Msg_12</t>
  </si>
  <si>
    <t>FMS2_TSN_01</t>
  </si>
  <si>
    <t>显控计算机-飞管2软件</t>
  </si>
  <si>
    <t>TSN_Msg_13</t>
  </si>
  <si>
    <t>FMS2_TSN_02</t>
  </si>
  <si>
    <t>TSN_Msg_14</t>
  </si>
  <si>
    <t>FMS2_TSN_03</t>
  </si>
  <si>
    <t>TSN_Msg_15</t>
  </si>
  <si>
    <t>FMS2_TSN_04</t>
  </si>
  <si>
    <t>TSN_Msg_16</t>
  </si>
  <si>
    <t>FMS2_TSN_05</t>
  </si>
  <si>
    <t>TSN_Msg_17</t>
  </si>
  <si>
    <t>FMS2_TSN_06</t>
  </si>
  <si>
    <t>TSN_Msg_18</t>
  </si>
  <si>
    <t>FMS2_TSN_07</t>
  </si>
  <si>
    <t>TSN_Msg_19</t>
  </si>
  <si>
    <t>FMS2_TSN_08</t>
  </si>
  <si>
    <t>TSN_Msg_20</t>
  </si>
  <si>
    <t>FMS2_TSN_09</t>
  </si>
  <si>
    <t>TSN_Msg_21</t>
  </si>
  <si>
    <t>FMS2_TSN_10</t>
  </si>
  <si>
    <t>TSN_Msg_22</t>
  </si>
  <si>
    <t>FMS2_TSN_11</t>
  </si>
  <si>
    <t>TSN_Msg_23</t>
  </si>
  <si>
    <t>FCC1_TSN_01</t>
  </si>
  <si>
    <t>FCC1</t>
  </si>
  <si>
    <t>50ms</t>
  </si>
  <si>
    <t>飞控状态帧</t>
  </si>
  <si>
    <r>
      <rPr>
        <sz val="11"/>
        <color theme="1"/>
        <rFont val="Times New Roman"/>
        <charset val="134"/>
      </rPr>
      <t>FMS1</t>
    </r>
    <r>
      <rPr>
        <sz val="11"/>
        <color theme="1"/>
        <rFont val="宋体"/>
        <charset val="134"/>
      </rPr>
      <t>、</t>
    </r>
    <r>
      <rPr>
        <sz val="11"/>
        <color theme="1"/>
        <rFont val="Times New Roman"/>
        <charset val="134"/>
      </rPr>
      <t>FMS2</t>
    </r>
    <r>
      <rPr>
        <sz val="11"/>
        <color theme="1"/>
        <rFont val="宋体"/>
        <charset val="134"/>
      </rPr>
      <t>、</t>
    </r>
    <r>
      <rPr>
        <sz val="11"/>
        <color theme="1"/>
        <rFont val="Times New Roman"/>
        <charset val="134"/>
      </rPr>
      <t>DIS1</t>
    </r>
    <r>
      <rPr>
        <sz val="11"/>
        <color theme="1"/>
        <rFont val="宋体"/>
        <charset val="134"/>
      </rPr>
      <t>、</t>
    </r>
    <r>
      <rPr>
        <sz val="11"/>
        <color theme="1"/>
        <rFont val="Times New Roman"/>
        <charset val="134"/>
      </rPr>
      <t>DIS2</t>
    </r>
  </si>
  <si>
    <t>TSN_Msg_24</t>
  </si>
  <si>
    <t>FCC1_TSN_02</t>
  </si>
  <si>
    <t>飞控通道选择</t>
  </si>
  <si>
    <t>TSN_Msg_25</t>
  </si>
  <si>
    <t>FCC1_TSN_03</t>
  </si>
  <si>
    <t>飞控判断的通道故障</t>
  </si>
  <si>
    <t>TSN_Msg_26</t>
  </si>
  <si>
    <t>FCC1_TSN_04</t>
  </si>
  <si>
    <t>自动飞行数据</t>
  </si>
  <si>
    <t>TSN_Msg_27</t>
  </si>
  <si>
    <t>FCC1_TSN_05</t>
  </si>
  <si>
    <t>飞控发出至飞管数据-起飞跑道</t>
  </si>
  <si>
    <r>
      <rPr>
        <sz val="11"/>
        <color theme="1"/>
        <rFont val="Times New Roman"/>
        <charset val="134"/>
      </rPr>
      <t>FMS1</t>
    </r>
    <r>
      <rPr>
        <sz val="11"/>
        <color theme="1"/>
        <rFont val="宋体"/>
        <charset val="134"/>
      </rPr>
      <t>、</t>
    </r>
    <r>
      <rPr>
        <sz val="11"/>
        <color theme="1"/>
        <rFont val="Times New Roman"/>
        <charset val="134"/>
      </rPr>
      <t>FMS2</t>
    </r>
  </si>
  <si>
    <t>飞控发出至飞管数据-降落跑道</t>
  </si>
  <si>
    <t>飞控发出至飞管数据-正常航段总览</t>
  </si>
  <si>
    <t>飞控发出至飞管数据-正常航段数据</t>
  </si>
  <si>
    <t>飞控发出至飞管数据-紧急航段总览</t>
  </si>
  <si>
    <t>飞控发出至飞管数据-紧急航段数据</t>
  </si>
  <si>
    <t>TSN_Msg_28</t>
  </si>
  <si>
    <t>FCC1_TSN_06</t>
  </si>
  <si>
    <t>MCE数据</t>
  </si>
  <si>
    <r>
      <rPr>
        <sz val="11"/>
        <color theme="1"/>
        <rFont val="Times New Roman"/>
        <charset val="134"/>
      </rPr>
      <t>DIS1</t>
    </r>
    <r>
      <rPr>
        <sz val="11"/>
        <color theme="1"/>
        <rFont val="宋体"/>
        <charset val="134"/>
      </rPr>
      <t>、</t>
    </r>
    <r>
      <rPr>
        <sz val="11"/>
        <color theme="1"/>
        <rFont val="Times New Roman"/>
        <charset val="134"/>
      </rPr>
      <t>DIS2</t>
    </r>
  </si>
  <si>
    <t>TSN_Msg_29</t>
  </si>
  <si>
    <t>FCC1_TSN_07</t>
  </si>
  <si>
    <t>电驱转速</t>
  </si>
  <si>
    <t>TSN_Msg_30</t>
  </si>
  <si>
    <t>FCC1_TSN_08</t>
  </si>
  <si>
    <t>主飞控解析选择后的结构体</t>
  </si>
  <si>
    <r>
      <rPr>
        <sz val="11"/>
        <color theme="1"/>
        <rFont val="宋体"/>
        <charset val="134"/>
      </rPr>
      <t>空地数据管理计算机</t>
    </r>
    <r>
      <rPr>
        <sz val="11"/>
        <color theme="1"/>
        <rFont val="Times New Roman"/>
        <charset val="134"/>
      </rPr>
      <t>1</t>
    </r>
    <r>
      <rPr>
        <sz val="11"/>
        <color theme="1"/>
        <rFont val="宋体"/>
        <charset val="134"/>
      </rPr>
      <t>、空地数据管理计算机</t>
    </r>
    <r>
      <rPr>
        <sz val="11"/>
        <color theme="1"/>
        <rFont val="Times New Roman"/>
        <charset val="134"/>
      </rPr>
      <t>2</t>
    </r>
  </si>
  <si>
    <t>TSN_Msg_31</t>
  </si>
  <si>
    <t>FCC1_TSN_09</t>
  </si>
  <si>
    <t>高升力解析选择后的结构体</t>
  </si>
  <si>
    <t>空地数据管理计算机1、空地数据管理计算机2</t>
  </si>
  <si>
    <t>TSN_Msg_32</t>
  </si>
  <si>
    <t>FCC1_TSN_10</t>
  </si>
  <si>
    <t>标准大气-解析后的结构体</t>
  </si>
  <si>
    <t>TSN_Msg_33</t>
  </si>
  <si>
    <t>FCC2_TSN_01</t>
  </si>
  <si>
    <t>FCC2</t>
  </si>
  <si>
    <t>TSN_Msg_34</t>
  </si>
  <si>
    <t>FCC2_TSN_02</t>
  </si>
  <si>
    <t>TSN_Msg_35</t>
  </si>
  <si>
    <t>FCC2_TSN_03</t>
  </si>
  <si>
    <t>TSN_Msg_36</t>
  </si>
  <si>
    <t>FCC2_TSN_04</t>
  </si>
  <si>
    <t>TSN_Msg_37</t>
  </si>
  <si>
    <t>FCC2_TSN_05</t>
  </si>
  <si>
    <t>飞控发出至飞管数据-航段点</t>
  </si>
  <si>
    <t>TSN_Msg_38</t>
  </si>
  <si>
    <t>FCC2_TSN_06</t>
  </si>
  <si>
    <t>TSN_Msg_39</t>
  </si>
  <si>
    <t>FCC2_TSN_07</t>
  </si>
  <si>
    <t>TSN_Msg_40</t>
  </si>
  <si>
    <t>TSN_Msg_41</t>
  </si>
  <si>
    <t>TSN_Msg_42</t>
  </si>
  <si>
    <t>TSN_Msg_43</t>
  </si>
  <si>
    <t>FCC3_TSN_01</t>
  </si>
  <si>
    <t>FCC3</t>
  </si>
  <si>
    <t>TSN_Msg_44</t>
  </si>
  <si>
    <t>FCC3_TSN_02</t>
  </si>
  <si>
    <t>FCC3_TSN_03</t>
  </si>
  <si>
    <t>FCC3_TSN_04</t>
  </si>
  <si>
    <t>TSN_Msg_45</t>
  </si>
  <si>
    <t>TSN_Msg_46</t>
  </si>
  <si>
    <t>TSN_Msg_47</t>
  </si>
  <si>
    <t>FCC3_TSN_05</t>
  </si>
  <si>
    <t>TSN_Msg_48</t>
  </si>
  <si>
    <t>FCC3_TSN_06</t>
  </si>
  <si>
    <t>TSN_Msg_49</t>
  </si>
  <si>
    <t>FCC3_TSN_07</t>
  </si>
  <si>
    <t>TSN_Msg_50</t>
  </si>
  <si>
    <t>TSN_Msg_51</t>
  </si>
  <si>
    <t>TSN_Msg_52</t>
  </si>
  <si>
    <t>上行发送端设备</t>
  </si>
  <si>
    <t>每个设备的接口</t>
  </si>
  <si>
    <t>TSN配置协议版本</t>
  </si>
  <si>
    <t>接口</t>
  </si>
  <si>
    <t>配置地址</t>
  </si>
  <si>
    <t>RA*2</t>
  </si>
  <si>
    <t>V1.0</t>
  </si>
  <si>
    <t>显控1，显控2，空地数据管理计算机，TSN数据记录器1-2</t>
  </si>
  <si>
    <t>大气计算机*3</t>
  </si>
  <si>
    <t>V2.2</t>
  </si>
  <si>
    <t>显控1，显控2，应答机（大气2），空地数据管理计算机，TSN数据记录器1-2</t>
  </si>
  <si>
    <t>惯导*3</t>
  </si>
  <si>
    <t>V3.0</t>
  </si>
  <si>
    <t>显控1，显控2，飞管1，飞管2，空地数据管理计算机，TSN数据记录器1-2</t>
  </si>
  <si>
    <t>转弯控制器*1</t>
  </si>
  <si>
    <t>429收*2
429发*2</t>
  </si>
  <si>
    <t>V4.0</t>
  </si>
  <si>
    <t>显控1，显控2，飞控1-3，空地数据管理计算机，TSN数据记录器1-2</t>
  </si>
  <si>
    <t>刹车控制器*2</t>
  </si>
  <si>
    <t>V2.0（未冻结）</t>
  </si>
  <si>
    <t>收放控制器*2</t>
  </si>
  <si>
    <t>电驱CAN*10</t>
  </si>
  <si>
    <t>CAN网：CAN*2</t>
  </si>
  <si>
    <t>V1.1</t>
  </si>
  <si>
    <t>270V和28V BMS*4</t>
  </si>
  <si>
    <t>V2.5.1</t>
  </si>
  <si>
    <t>800V BMS*10</t>
  </si>
  <si>
    <t>CAN网：CAN*2，维护CAN</t>
  </si>
  <si>
    <t>主备CAN：显控1，显控2，飞管1，飞管2，空地数据管理计算机，TSN数据记录器1-2
维护CAN：TSN数据记录器1-2</t>
  </si>
  <si>
    <t>盘箱*3</t>
  </si>
  <si>
    <t>V2.1</t>
  </si>
  <si>
    <t>RTK*2</t>
  </si>
  <si>
    <t>V1.4</t>
  </si>
  <si>
    <t>应答机*1</t>
  </si>
  <si>
    <t>429收*1
429发*1</t>
  </si>
  <si>
    <t>空地计算机</t>
  </si>
  <si>
    <t>飞管1，飞管2</t>
  </si>
  <si>
    <t>飞管</t>
  </si>
  <si>
    <t>TSN</t>
  </si>
  <si>
    <t>航段：飞控1-3；（TSN）
起飞机场和跑道信息：飞控1-3；（TSN）
大气加温/不加温指令：大气1-3；（3个DIU）
惯导校准指令：惯导1-3；（3个DIU）
270V上下电：270V BMS，1-3；（2个DIU）
800V上下电：800V BMS，1-10；（2个DIU）
ADS-B打开和关闭指令（相关配置信息）：应答机；（1个DIU）
灯光打开和关闭：盘箱CAN网络；（2个DIU）
自检和故障信息：空地数据管理计算机
飞管回复数据：空地数据管理计算机
以上所有：TSN数据记录器1-2</t>
  </si>
  <si>
    <t>飞控</t>
  </si>
  <si>
    <t>转弯指令：转弯控制器*1
刹车指令：刹车控制器*2
标准大气：空地数据管理计算机
高升力原始数据和解析数据：空地数据管理计算机
主飞控原始数据和解析数据：空地数据管理计算机
飞控主备状态：空地数据管理计算机
飞控通道选择：空地数据管理计算机
飞控通道故障数据：空地数据管理计算机
电驱指令：空地数据管理计算机
飞控回复数据：飞管1、飞管2
以上所有：TSN数据记录器1-2</t>
  </si>
  <si>
    <t>日期</t>
  </si>
  <si>
    <t>更改内容</t>
  </si>
  <si>
    <t>更改人</t>
  </si>
  <si>
    <t>更新ADC下行数据DIU1和DIU2接收的物理通道编号，L237通道从03物理通道调整为01物理量通道</t>
  </si>
  <si>
    <t>杨忆凡</t>
  </si>
  <si>
    <t>补充网络交换数据中飞控发送MCE数据以及UDP。</t>
  </si>
  <si>
    <t>修改高压PDU帧格式和偏移。</t>
  </si>
  <si>
    <t>修改S模式应答机下行数据，拆分原来端口号为8016为两条8016和8030</t>
  </si>
  <si>
    <t>修改S模式应答机下行数据，拆分原来端口号为8016为两条8016和8031，L306由空地计算机发送，单独独立成一条TSN消息</t>
  </si>
  <si>
    <t>补充LBPCU和RBPCU中遗漏的一帧数据。</t>
  </si>
  <si>
    <t>根据飞控反馈，修改FCC1、FCC2、FCC3发送MCE数据的长度为60，原来为56.</t>
  </si>
  <si>
    <t>升级到5.5版本。根据起落架团队初版ICD，更新了刹车系统下行数据、转弯系统接收刹车系统的下行数据、刹车系统接收的收放系统下行数据。对应的UDP端口分别为7087、7088、7089、7090。下行数据分别为Downlink_Msg_24、Downlink_Msg_25、Downlink_Msg_26、Downlink_Msg_27、Downlink_Msg_28、Downlink_Msg_29。后续待起落架冻结ICD后需再次更新。</t>
  </si>
  <si>
    <t>更新飞管发送给飞控的消息长度，分别为性能计算数据（4-8）、轨迹预测预测轨迹航段类数据（事件）（40到44）、轨迹预测紧急返航轨迹预测结果航段类数据（事件）（40到44）、飞控判断的通道故障（20到16）.</t>
  </si>
  <si>
    <t>更新起落架系统协议版本信息。S模式应当机上行数据7082端口发送周期调整为100ms。修改飞管时间计算导航计算、飞管状态数据、性能计算、轨迹航段总数类数据、轨迹航段类数据、紧急返航预测轨迹航段总数类数据的组播组IP地址。（239.200.4.1-&gt;239.200.7.1）</t>
  </si>
  <si>
    <t>更新网络交互数据表格，增加三套飞控分别发送的三条消息：主飞控解析选择后的数据、高升力解析选择后的数据、标准大气-解析后的数据</t>
  </si>
  <si>
    <t>更新网络交换数据中组播IP地址，所有239.200更新为239.100.</t>
  </si>
  <si>
    <t xml:space="preserve">1、删除防冰除雨、高压PDU上下行数据以及XPDR给应答机的下行的数据；
2、修改800VBMS上行和下行数据周期，上行数据中所有原10ms周期更新为100ms，原100ms周期全部更新为500ms；下行数据上下电指令10ms周期修改为100ms
3、修改270VBMS上行和下行数据周期，上行数据中所有原10ms周期更新为100ms，原100ms周期全部更新为500ms，下行数据上下电指令10ms周期修改为100ms；
4、更改ADC上行数据所有周期为200ms；修改应答机接收ADC数据周期（20ms-&gt;200ms），S模式应答机接收飞管发送导航数据周期修改（50-200）。
</t>
  </si>
  <si>
    <t>降频版本修改。</t>
  </si>
  <si>
    <t>增加飞控发送到刹车控制器的数据。</t>
  </si>
  <si>
    <t>修改收放上行数据协议。Label113该改为Label115，删除Label357.相应调整下行数据中收放发送到刹车的数据协议。</t>
  </si>
  <si>
    <t>修改收放控制器上行数据，LGCU1 TX1中删除L103和L115,LGCU1 TX2中只保留L103；LGCU2 TX1中删除L103和L115,LGCU1 TX2中只保留L115；</t>
  </si>
  <si>
    <t>修改刹车控制器接收收放控制器的数据，端口号7077、7079，删除L103和L115，与收放控制器发送的数据保持一致。</t>
  </si>
  <si>
    <t>修改收放控制器1和控制器2上行数据TX1通道组播组IP。</t>
  </si>
  <si>
    <t>1、更新7034、7037、7031、7028的周期。（100-&gt;50）；2、增加FMS2往ADC、IRS、应答机的下行数据。</t>
  </si>
  <si>
    <t>1、修改备份刹车和正常刹车控制器上行数据，增加L173、L174、L175、L176、L177，删除L354、L355、L360、L361、L362、L363、L374、L375。同步更新刹车发送给转弯控制器数据结构。2、修改飞控发送到刹车控制器的消息，主要更正Label号。</t>
  </si>
  <si>
    <t>更改FMS发送给灯光系统下行数据ICD，两个CAN帧合并。</t>
  </si>
  <si>
    <t>更新MCU上行消息。增加飞控发送的MCU指令转换到TSN网络。</t>
  </si>
  <si>
    <t>更新以下上行数据组播组IP：RA1&amp;RA2（239.100.3.1-&gt;239.100.2.1）、ADC1&amp;ADC2（7002端口（239.100.3.9-&gt;239.100.2.9））&amp;ADC3（239.100.3.1-&gt;239.100.2.1）、转弯控制器（239.100.7.1-&gt;239.100.6.1）、备份&amp;正常刹车控制器（239.100.7.1-&gt;239.100.6.1、239.100.7.13-&gt;&gt;239.100.6.13）、收放控制器1&amp;2（239.100.7.1-&gt;239.100.6.1、239.100.7.113-&gt;&gt;239.100.6.113）、电驱（239.100.3.1-&gt;239.100.2.1）、800V维护CAN（239.100.3.1-&gt;239.100.128.1）、盘箱LBPCU、RBPCU、EMPC（239.100.3.1-&gt;239.100.2.1）、RTK1&amp;RTK2（239.100.3.1-&gt;239.100.2.1）、应答机（239.100.3.1-&gt;239.100.2.1）</t>
  </si>
  <si>
    <t>相应更新以下下行数据组播组IP：UDP端口7087、7088、7089、7090组播组IP（239.100.7.13-&gt;239.100.6.13）；UDP端口7077、7079组播组IP（239.100.7.113-&gt;239.100.6.113）、应答机接收ADC2 7002端口组播组IP（239.100.3.9-&gt;239.100.2.9）</t>
  </si>
  <si>
    <t xml:space="preserve">1、更新7034、7037、7031、7028的周期。（50-&gt;100）；
2、补充飞控与飞管的交互数据，具体如下：
0、起飞跑道：          FCC1：9101      FCC2：9102    FCC3：9103   
1、降落跑道：          FCC1：9111      FCC2：9112    FCC3：9113   
2、正常航段总览：  FCC1：9121      FCC2：9122    FCC3：9123   
3、正常航段数据：  FCC1：9131      FCC2：9132    FCC3：9133   
4、紧急航段总览：  FCC1：9141      FCC2：9142    FCC3：9143   
5、紧急航段数据： FCC1：9151      FCC2：9152    FCC3：9153   
与FMS2交互
0、起飞跑道：          FCC1：9201      FCC2：9202    FCC3：9203   
1、降落跑道：          FCC1：9211      FCC2：9212    FCC3：9213  
2、正常航段总览：  FCC1：9221      FCC2：9222    FCC3：9223   
3、正常航段数据：  FCC1：9231      FCC2：9232    FCC3：9233   
4、紧急航段总览：  FCC1：9241      FCC2：9242    FCC3：9243   
5、紧急航段数据： FCC1：9251      FCC2：9252    FCC3：9253   </t>
  </si>
  <si>
    <t>更新网络交互数据表格中"轨迹预测预测轨迹航段类数据（事件）"(9808-&gt;9809)"轨迹预测预测轨迹航段总数类数据"（9609-&gt;9608）;</t>
  </si>
  <si>
    <t>1、更新飞控发送到转弯和刹车控制器的消息周期（100-20ms）、转弯控制器到TSN网络上行数据周期更新为20ms；2、刹车控制器接收收放控制器的消息不通过DIU6转发。</t>
  </si>
  <si>
    <t>1、根据最新版MCU ICD更新7091、7092端口中CAN消息的帧ID。同步更新该两端口的转发周期（20-100）
2、根据最新版MCUICD，增加7093、7094、7094、7096端口信息。</t>
  </si>
  <si>
    <t>更新转弯控制器、刹车控制器下行数据周期（20-&gt;10ms）。</t>
  </si>
  <si>
    <t>删除收放控制器上行数据中的离散量。（7085、7086）</t>
  </si>
  <si>
    <t>修改转弯控制器接收收放控制器下行数据周期（100-&gt;20）</t>
  </si>
  <si>
    <t>修改7091、7092消息源设备端MCU为FCC。</t>
  </si>
  <si>
    <t>修改收放控制单元1的A429Tx_02对应的物理通道（1301108-&gt;1301116）</t>
  </si>
  <si>
    <t>1、增加4条飞管1和飞管2发送给ATG的数据流（8050、8051、8052、8053），并且通过DIU6的两个物理端口分别转发；
2、空地计算机1和2增加2条RS422流用于评估DIU性能，详细信息后续更新；
3、修改RTK的组播组IP，增加飞管为目的端设备，IP地址由239.100.2.1-&gt;239.100.3.1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</si>
</sst>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1"/>
      <color theme="1"/>
      <name val="宋体"/>
      <charset val="134"/>
      <scheme val="minor"/>
    </font>
    <font>
      <sz val="11"/>
      <name val="宋体"/>
      <charset val="134"/>
      <scheme val="minor"/>
    </font>
    <font>
      <sz val="11"/>
      <name val="宋体"/>
      <charset val="134"/>
    </font>
    <font>
      <sz val="11"/>
      <color theme="1"/>
      <name val="Times New Roman"/>
      <charset val="134"/>
    </font>
    <font>
      <b/>
      <sz val="11"/>
      <color theme="1"/>
      <name val="宋体"/>
      <charset val="134"/>
    </font>
    <font>
      <b/>
      <sz val="11"/>
      <color theme="1"/>
      <name val="Times New Roman"/>
      <charset val="134"/>
    </font>
    <font>
      <b/>
      <sz val="11"/>
      <name val="宋体"/>
      <charset val="134"/>
    </font>
    <font>
      <b/>
      <sz val="11"/>
      <name val="Times New Roman"/>
      <charset val="134"/>
    </font>
    <font>
      <sz val="11"/>
      <name val="Times New Roman"/>
      <charset val="134"/>
    </font>
    <font>
      <sz val="11"/>
      <color theme="1"/>
      <name val="宋体"/>
      <charset val="134"/>
    </font>
    <font>
      <sz val="11"/>
      <color rgb="FFFF0000"/>
      <name val="Times New Roman"/>
      <charset val="134"/>
    </font>
    <font>
      <sz val="11"/>
      <color rgb="FFFF0000"/>
      <name val="宋体"/>
      <charset val="134"/>
      <scheme val="minor"/>
    </font>
    <font>
      <sz val="11"/>
      <color rgb="FFFF0000"/>
      <name val="宋体"/>
      <charset val="134"/>
    </font>
    <font>
      <b/>
      <sz val="11"/>
      <color rgb="FFC00000"/>
      <name val="宋体"/>
      <charset val="134"/>
      <scheme val="minor"/>
    </font>
    <font>
      <sz val="11"/>
      <color rgb="FFC00000"/>
      <name val="Times New Roman"/>
      <charset val="134"/>
    </font>
    <font>
      <sz val="12"/>
      <name val="Times New Roman"/>
      <charset val="134"/>
    </font>
    <font>
      <sz val="12"/>
      <name val="宋体"/>
      <charset val="134"/>
    </font>
    <font>
      <sz val="12"/>
      <color rgb="FFFF0000"/>
      <name val="Times New Roman"/>
      <charset val="134"/>
    </font>
    <font>
      <b/>
      <sz val="11"/>
      <color rgb="FFC00000"/>
      <name val="宋体"/>
      <charset val="134"/>
    </font>
    <font>
      <u/>
      <sz val="11"/>
      <color rgb="FFC00000"/>
      <name val="Times New Roman"/>
      <charset val="134"/>
    </font>
    <font>
      <sz val="11"/>
      <color rgb="FFC00000"/>
      <name val="宋体"/>
      <charset val="134"/>
    </font>
    <font>
      <b/>
      <sz val="11"/>
      <color rgb="FFFF0000"/>
      <name val="宋体"/>
      <charset val="134"/>
    </font>
    <font>
      <b/>
      <u/>
      <sz val="11"/>
      <color rgb="FFFF0000"/>
      <name val="Times New Roman"/>
      <charset val="134"/>
    </font>
    <font>
      <u/>
      <sz val="11"/>
      <color rgb="FFFF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0"/>
    </font>
    <font>
      <b/>
      <sz val="9"/>
      <name val="宋体"/>
      <charset val="134"/>
    </font>
    <font>
      <sz val="9"/>
      <name val="宋体"/>
      <charset val="134"/>
    </font>
  </fonts>
  <fills count="52">
    <fill>
      <patternFill patternType="none"/>
    </fill>
    <fill>
      <patternFill patternType="gray125"/>
    </fill>
    <fill>
      <patternFill patternType="solid">
        <fgColor theme="8" tint="0.799981688894314"/>
        <bgColor indexed="64"/>
      </patternFill>
    </fill>
    <fill>
      <patternFill patternType="solid">
        <fgColor theme="3" tint="0.8"/>
        <bgColor indexed="64"/>
      </patternFill>
    </fill>
    <fill>
      <patternFill patternType="solid">
        <fgColor theme="9" tint="0.8"/>
        <bgColor indexed="64"/>
      </patternFill>
    </fill>
    <fill>
      <patternFill patternType="solid">
        <fgColor rgb="FFFFFF00"/>
        <bgColor indexed="64"/>
      </patternFill>
    </fill>
    <fill>
      <patternFill patternType="solid">
        <fgColor theme="3" tint="0.6"/>
        <bgColor indexed="64"/>
      </patternFill>
    </fill>
    <fill>
      <patternFill patternType="solid">
        <fgColor rgb="FF92D050"/>
        <bgColor indexed="64"/>
      </patternFill>
    </fill>
    <fill>
      <patternFill patternType="solid">
        <fgColor theme="9" tint="0.4"/>
        <bgColor indexed="64"/>
      </patternFill>
    </fill>
    <fill>
      <patternFill patternType="solid">
        <fgColor theme="6" tint="0.4"/>
        <bgColor indexed="64"/>
      </patternFill>
    </fill>
    <fill>
      <patternFill patternType="solid">
        <fgColor theme="2" tint="-0.5"/>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9" tint="0.6"/>
        <bgColor indexed="64"/>
      </patternFill>
    </fill>
    <fill>
      <patternFill patternType="solid">
        <fgColor theme="8" tint="0.4"/>
        <bgColor indexed="64"/>
      </patternFill>
    </fill>
    <fill>
      <patternFill patternType="solid">
        <fgColor theme="2" tint="-0.25"/>
        <bgColor indexed="64"/>
      </patternFill>
    </fill>
    <fill>
      <patternFill patternType="solid">
        <fgColor theme="5"/>
        <bgColor indexed="64"/>
      </patternFill>
    </fill>
    <fill>
      <patternFill patternType="solid">
        <fgColor theme="4"/>
        <bgColor indexed="64"/>
      </patternFill>
    </fill>
    <fill>
      <patternFill patternType="solid">
        <fgColor theme="4" tint="0.8"/>
        <bgColor indexed="64"/>
      </patternFill>
    </fill>
    <fill>
      <patternFill patternType="solid">
        <fgColor theme="8" tint="-0.25"/>
        <bgColor indexed="64"/>
      </patternFill>
    </fill>
    <fill>
      <patternFill patternType="solid">
        <fgColor theme="7" tint="0.4"/>
        <bgColor indexed="64"/>
      </patternFill>
    </fill>
    <fill>
      <patternFill patternType="solid">
        <fgColor theme="7" tint="0.6"/>
        <bgColor indexed="64"/>
      </patternFill>
    </fill>
    <fill>
      <patternFill patternType="solid">
        <fgColor theme="4" tint="0.59999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24" borderId="18"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9" applyNumberFormat="0" applyFill="0" applyAlignment="0" applyProtection="0">
      <alignment vertical="center"/>
    </xf>
    <xf numFmtId="0" fontId="30" fillId="0" borderId="19" applyNumberFormat="0" applyFill="0" applyAlignment="0" applyProtection="0">
      <alignment vertical="center"/>
    </xf>
    <xf numFmtId="0" fontId="31" fillId="0" borderId="20" applyNumberFormat="0" applyFill="0" applyAlignment="0" applyProtection="0">
      <alignment vertical="center"/>
    </xf>
    <xf numFmtId="0" fontId="31" fillId="0" borderId="0" applyNumberFormat="0" applyFill="0" applyBorder="0" applyAlignment="0" applyProtection="0">
      <alignment vertical="center"/>
    </xf>
    <xf numFmtId="0" fontId="32" fillId="25" borderId="21" applyNumberFormat="0" applyAlignment="0" applyProtection="0">
      <alignment vertical="center"/>
    </xf>
    <xf numFmtId="0" fontId="33" fillId="26" borderId="22" applyNumberFormat="0" applyAlignment="0" applyProtection="0">
      <alignment vertical="center"/>
    </xf>
    <xf numFmtId="0" fontId="34" fillId="26" borderId="21" applyNumberFormat="0" applyAlignment="0" applyProtection="0">
      <alignment vertical="center"/>
    </xf>
    <xf numFmtId="0" fontId="35" fillId="27" borderId="23" applyNumberFormat="0" applyAlignment="0" applyProtection="0">
      <alignment vertical="center"/>
    </xf>
    <xf numFmtId="0" fontId="36" fillId="0" borderId="24" applyNumberFormat="0" applyFill="0" applyAlignment="0" applyProtection="0">
      <alignment vertical="center"/>
    </xf>
    <xf numFmtId="0" fontId="37" fillId="0" borderId="25" applyNumberFormat="0" applyFill="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1" fillId="1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33" borderId="0" applyNumberFormat="0" applyBorder="0" applyAlignment="0" applyProtection="0">
      <alignment vertical="center"/>
    </xf>
    <xf numFmtId="0" fontId="41" fillId="17"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2" fillId="2" borderId="0" applyNumberFormat="0" applyBorder="0" applyAlignment="0" applyProtection="0">
      <alignment vertical="center"/>
    </xf>
    <xf numFmtId="0" fontId="42" fillId="46" borderId="0" applyNumberFormat="0" applyBorder="0" applyAlignment="0" applyProtection="0">
      <alignment vertical="center"/>
    </xf>
    <xf numFmtId="0" fontId="41" fillId="47" borderId="0" applyNumberFormat="0" applyBorder="0" applyAlignment="0" applyProtection="0">
      <alignment vertical="center"/>
    </xf>
    <xf numFmtId="0" fontId="41" fillId="48" borderId="0" applyNumberFormat="0" applyBorder="0" applyAlignment="0" applyProtection="0">
      <alignment vertical="center"/>
    </xf>
    <xf numFmtId="0" fontId="42" fillId="49" borderId="0" applyNumberFormat="0" applyBorder="0" applyAlignment="0" applyProtection="0">
      <alignment vertical="center"/>
    </xf>
    <xf numFmtId="0" fontId="42" fillId="50" borderId="0" applyNumberFormat="0" applyBorder="0" applyAlignment="0" applyProtection="0">
      <alignment vertical="center"/>
    </xf>
    <xf numFmtId="0" fontId="41" fillId="51" borderId="0" applyNumberFormat="0" applyBorder="0" applyAlignment="0" applyProtection="0">
      <alignment vertical="center"/>
    </xf>
    <xf numFmtId="0" fontId="0" fillId="0" borderId="0">
      <alignment vertical="center"/>
    </xf>
    <xf numFmtId="0" fontId="43" fillId="0" borderId="0"/>
  </cellStyleXfs>
  <cellXfs count="402">
    <xf numFmtId="0" fontId="0" fillId="0" borderId="0" xfId="0" applyFill="1">
      <alignment vertical="center"/>
    </xf>
    <xf numFmtId="0" fontId="0" fillId="0" borderId="0" xfId="0" applyFill="1" applyAlignment="1">
      <alignment vertical="center" wrapText="1"/>
    </xf>
    <xf numFmtId="0" fontId="1" fillId="0" borderId="0" xfId="0" applyFont="1" applyFill="1" applyAlignment="1">
      <alignment horizontal="left" vertical="center"/>
    </xf>
    <xf numFmtId="0" fontId="1" fillId="0" borderId="0" xfId="0" applyFont="1" applyFill="1" applyAlignment="1">
      <alignment horizontal="left" vertical="center" wrapText="1"/>
    </xf>
    <xf numFmtId="0" fontId="0" fillId="0" borderId="0" xfId="0" applyFill="1" applyAlignment="1">
      <alignment horizontal="left" vertical="center" wrapText="1"/>
    </xf>
    <xf numFmtId="0" fontId="2" fillId="0" borderId="0" xfId="0" applyFont="1" applyFill="1" applyBorder="1" applyAlignment="1">
      <alignment horizontal="left" vertical="center" wrapText="1"/>
    </xf>
    <xf numFmtId="0" fontId="0" fillId="0" borderId="0" xfId="0">
      <alignment vertical="center"/>
    </xf>
    <xf numFmtId="0" fontId="0" fillId="0" borderId="1" xfId="0" applyFont="1" applyBorder="1" applyAlignment="1"/>
    <xf numFmtId="0" fontId="0" fillId="2" borderId="1" xfId="0" applyFont="1" applyFill="1" applyBorder="1" applyAlignment="1"/>
    <xf numFmtId="0" fontId="0" fillId="0" borderId="1" xfId="0" applyBorder="1" applyAlignment="1"/>
    <xf numFmtId="0" fontId="0" fillId="2" borderId="1" xfId="0" applyFont="1" applyFill="1" applyBorder="1" applyAlignment="1">
      <alignment horizontal="center" vertical="center"/>
    </xf>
    <xf numFmtId="0" fontId="0" fillId="2" borderId="2" xfId="0" applyFont="1" applyFill="1" applyBorder="1" applyAlignment="1">
      <alignment horizontal="center" vertical="center"/>
    </xf>
    <xf numFmtId="0" fontId="0" fillId="2" borderId="1" xfId="0" applyFont="1" applyFill="1" applyBorder="1">
      <alignment vertical="center"/>
    </xf>
    <xf numFmtId="0" fontId="1" fillId="0" borderId="1" xfId="0" applyFont="1" applyBorder="1" applyAlignment="1"/>
    <xf numFmtId="0" fontId="0" fillId="2" borderId="2"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1" xfId="0" applyFont="1" applyFill="1" applyBorder="1" applyAlignment="1">
      <alignment wrapText="1"/>
    </xf>
    <xf numFmtId="0" fontId="1" fillId="2" borderId="1" xfId="0" applyFont="1" applyFill="1" applyBorder="1" applyAlignment="1">
      <alignment horizontal="center"/>
    </xf>
    <xf numFmtId="0" fontId="1" fillId="2" borderId="1" xfId="0" applyFont="1" applyFill="1" applyBorder="1" applyAlignment="1"/>
    <xf numFmtId="0" fontId="0" fillId="0" borderId="1" xfId="0" applyFont="1" applyBorder="1" applyAlignment="1">
      <alignment horizontal="left" vertical="center"/>
    </xf>
    <xf numFmtId="0" fontId="1" fillId="0" borderId="1" xfId="0" applyFont="1" applyBorder="1" applyAlignment="1">
      <alignment horizontal="left" vertical="center"/>
    </xf>
    <xf numFmtId="0" fontId="0" fillId="0" borderId="0" xfId="0" applyFont="1" applyFill="1" applyAlignment="1">
      <alignment vertical="center" wrapText="1"/>
    </xf>
    <xf numFmtId="0" fontId="0" fillId="0" borderId="1" xfId="0" applyBorder="1">
      <alignment vertical="center"/>
    </xf>
    <xf numFmtId="0" fontId="0" fillId="2" borderId="1" xfId="0" applyFill="1" applyBorder="1">
      <alignment vertical="center"/>
    </xf>
    <xf numFmtId="0" fontId="1" fillId="0" borderId="1" xfId="0" applyFont="1" applyBorder="1">
      <alignment vertical="center"/>
    </xf>
    <xf numFmtId="0" fontId="1" fillId="2" borderId="1" xfId="0" applyFont="1" applyFill="1" applyBorder="1" applyAlignment="1">
      <alignment horizontal="center" vertical="center"/>
    </xf>
    <xf numFmtId="0" fontId="0" fillId="2" borderId="1" xfId="0" applyFont="1" applyFill="1" applyBorder="1" applyAlignment="1">
      <alignment vertical="center" wrapText="1"/>
    </xf>
    <xf numFmtId="0" fontId="0" fillId="0" borderId="0" xfId="0" applyAlignment="1">
      <alignment vertical="center"/>
    </xf>
    <xf numFmtId="0" fontId="0" fillId="0" borderId="0" xfId="0" applyBorder="1" applyAlignment="1">
      <alignment horizontal="center" vertical="center" wrapText="1"/>
    </xf>
    <xf numFmtId="0" fontId="3" fillId="0" borderId="0" xfId="0" applyFont="1" applyFill="1">
      <alignment vertical="center"/>
    </xf>
    <xf numFmtId="0" fontId="3" fillId="3" borderId="0" xfId="0" applyFont="1" applyFill="1">
      <alignment vertical="center"/>
    </xf>
    <xf numFmtId="0" fontId="3" fillId="4" borderId="0" xfId="0" applyFont="1" applyFill="1">
      <alignment vertical="center"/>
    </xf>
    <xf numFmtId="0" fontId="0" fillId="5" borderId="0" xfId="0" applyFill="1">
      <alignment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8" fillId="6" borderId="3" xfId="0" applyFont="1" applyFill="1" applyBorder="1" applyAlignment="1">
      <alignment horizontal="center" vertical="center"/>
    </xf>
    <xf numFmtId="0" fontId="9" fillId="6" borderId="3" xfId="0" applyFont="1" applyFill="1" applyBorder="1" applyAlignment="1">
      <alignment horizontal="left" vertical="center" wrapText="1"/>
    </xf>
    <xf numFmtId="0" fontId="8" fillId="6" borderId="4" xfId="0" applyFont="1" applyFill="1" applyBorder="1" applyAlignment="1">
      <alignment horizontal="center" vertical="center"/>
    </xf>
    <xf numFmtId="0" fontId="3" fillId="6" borderId="4" xfId="0" applyFont="1" applyFill="1" applyBorder="1" applyAlignment="1">
      <alignment horizontal="left" vertical="center" wrapText="1"/>
    </xf>
    <xf numFmtId="0" fontId="10" fillId="6" borderId="1" xfId="0" applyFont="1" applyFill="1" applyBorder="1" applyAlignment="1">
      <alignment horizontal="center" vertical="center"/>
    </xf>
    <xf numFmtId="0" fontId="8" fillId="6" borderId="5" xfId="0" applyFont="1" applyFill="1" applyBorder="1" applyAlignment="1">
      <alignment horizontal="center" vertical="center"/>
    </xf>
    <xf numFmtId="0" fontId="3" fillId="6" borderId="5" xfId="0" applyFont="1" applyFill="1" applyBorder="1" applyAlignment="1">
      <alignment horizontal="left" vertical="center" wrapText="1"/>
    </xf>
    <xf numFmtId="0" fontId="8" fillId="5"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3" borderId="3" xfId="0" applyFont="1" applyFill="1" applyBorder="1" applyAlignment="1">
      <alignment horizontal="center" vertical="center"/>
    </xf>
    <xf numFmtId="0" fontId="9" fillId="3" borderId="3" xfId="0" applyFont="1" applyFill="1" applyBorder="1" applyAlignment="1">
      <alignment horizontal="left" vertical="center" wrapText="1"/>
    </xf>
    <xf numFmtId="0" fontId="8" fillId="3" borderId="4" xfId="0" applyFont="1" applyFill="1" applyBorder="1" applyAlignment="1">
      <alignment horizontal="center" vertical="center"/>
    </xf>
    <xf numFmtId="0" fontId="3" fillId="3" borderId="4" xfId="0" applyFont="1" applyFill="1" applyBorder="1" applyAlignment="1">
      <alignment horizontal="left" vertical="center" wrapText="1"/>
    </xf>
    <xf numFmtId="0" fontId="10" fillId="3" borderId="1" xfId="0" applyFont="1" applyFill="1" applyBorder="1" applyAlignment="1">
      <alignment horizontal="center" vertical="center"/>
    </xf>
    <xf numFmtId="0" fontId="8" fillId="3" borderId="5" xfId="0" applyFont="1" applyFill="1" applyBorder="1" applyAlignment="1">
      <alignment horizontal="center" vertical="center"/>
    </xf>
    <xf numFmtId="0" fontId="3" fillId="3" borderId="5" xfId="0" applyFont="1" applyFill="1" applyBorder="1" applyAlignment="1">
      <alignment horizontal="lef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8" fillId="5" borderId="3" xfId="0" applyFont="1" applyFill="1" applyBorder="1" applyAlignment="1">
      <alignment horizontal="center" vertical="center"/>
    </xf>
    <xf numFmtId="0" fontId="9" fillId="5" borderId="3" xfId="0" applyFont="1" applyFill="1" applyBorder="1" applyAlignment="1">
      <alignment horizontal="left" vertical="center" wrapText="1"/>
    </xf>
    <xf numFmtId="0" fontId="8" fillId="5" borderId="4" xfId="0" applyFont="1" applyFill="1" applyBorder="1" applyAlignment="1">
      <alignment horizontal="center" vertical="center"/>
    </xf>
    <xf numFmtId="0" fontId="3" fillId="5" borderId="4" xfId="0" applyFont="1" applyFill="1" applyBorder="1" applyAlignment="1">
      <alignment horizontal="left" vertical="center" wrapText="1"/>
    </xf>
    <xf numFmtId="0" fontId="10" fillId="5" borderId="1" xfId="0" applyFont="1" applyFill="1" applyBorder="1" applyAlignment="1">
      <alignment horizontal="center" vertical="center"/>
    </xf>
    <xf numFmtId="0" fontId="8" fillId="5" borderId="5" xfId="0" applyFont="1" applyFill="1" applyBorder="1" applyAlignment="1">
      <alignment horizontal="center" vertical="center"/>
    </xf>
    <xf numFmtId="0" fontId="3" fillId="5" borderId="5" xfId="0" applyFont="1" applyFill="1" applyBorder="1" applyAlignment="1">
      <alignment horizontal="left" vertical="center" wrapText="1"/>
    </xf>
    <xf numFmtId="0" fontId="3" fillId="7"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9" fillId="7" borderId="3" xfId="0" applyFont="1" applyFill="1" applyBorder="1" applyAlignment="1">
      <alignment horizontal="left" vertical="center" wrapText="1"/>
    </xf>
    <xf numFmtId="0" fontId="8" fillId="7" borderId="4" xfId="0" applyFont="1" applyFill="1" applyBorder="1" applyAlignment="1">
      <alignment horizontal="center" vertical="center"/>
    </xf>
    <xf numFmtId="0" fontId="3" fillId="7" borderId="4" xfId="0" applyFont="1" applyFill="1" applyBorder="1" applyAlignment="1">
      <alignment horizontal="left" vertical="center" wrapText="1"/>
    </xf>
    <xf numFmtId="0" fontId="10" fillId="7" borderId="1" xfId="0" applyFont="1" applyFill="1" applyBorder="1" applyAlignment="1">
      <alignment horizontal="center" vertical="center"/>
    </xf>
    <xf numFmtId="0" fontId="8" fillId="7" borderId="5" xfId="0" applyFont="1" applyFill="1" applyBorder="1" applyAlignment="1">
      <alignment horizontal="center" vertical="center"/>
    </xf>
    <xf numFmtId="0" fontId="3" fillId="7" borderId="5" xfId="0" applyFont="1" applyFill="1" applyBorder="1" applyAlignment="1">
      <alignment horizontal="left"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4" borderId="3" xfId="0" applyFont="1" applyFill="1" applyBorder="1" applyAlignment="1">
      <alignment horizontal="center" vertical="center"/>
    </xf>
    <xf numFmtId="0" fontId="9" fillId="4" borderId="3" xfId="0" applyFont="1" applyFill="1" applyBorder="1" applyAlignment="1">
      <alignment horizontal="left" vertical="center" wrapText="1"/>
    </xf>
    <xf numFmtId="0" fontId="8" fillId="4" borderId="4" xfId="0" applyFont="1" applyFill="1" applyBorder="1" applyAlignment="1">
      <alignment horizontal="center" vertical="center"/>
    </xf>
    <xf numFmtId="0" fontId="3" fillId="4" borderId="4" xfId="0" applyFont="1" applyFill="1" applyBorder="1" applyAlignment="1">
      <alignment horizontal="left" vertical="center" wrapText="1"/>
    </xf>
    <xf numFmtId="0" fontId="10" fillId="4" borderId="1" xfId="0" applyFont="1" applyFill="1" applyBorder="1" applyAlignment="1">
      <alignment horizontal="center" vertical="center"/>
    </xf>
    <xf numFmtId="0" fontId="8" fillId="4" borderId="5" xfId="0" applyFont="1" applyFill="1" applyBorder="1" applyAlignment="1">
      <alignment horizontal="center" vertical="center"/>
    </xf>
    <xf numFmtId="0" fontId="3" fillId="4" borderId="5" xfId="0" applyFont="1" applyFill="1" applyBorder="1" applyAlignment="1">
      <alignment horizontal="left" vertical="center" wrapText="1"/>
    </xf>
    <xf numFmtId="0" fontId="9" fillId="6"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vertical="center" wrapText="1"/>
    </xf>
    <xf numFmtId="0" fontId="11" fillId="0" borderId="0" xfId="0" applyFont="1" applyFill="1" applyBorder="1" applyAlignment="1">
      <alignment vertical="center" wrapText="1"/>
    </xf>
    <xf numFmtId="0" fontId="0" fillId="0" borderId="1" xfId="0" applyFill="1" applyBorder="1" applyAlignment="1">
      <alignment vertical="center" wrapText="1"/>
    </xf>
    <xf numFmtId="0" fontId="0" fillId="8" borderId="0" xfId="0" applyFill="1" applyBorder="1" applyAlignment="1">
      <alignment vertical="center" wrapText="1"/>
    </xf>
    <xf numFmtId="0" fontId="0" fillId="0" borderId="2" xfId="0" applyFill="1" applyBorder="1" applyAlignment="1">
      <alignment vertical="center" wrapText="1"/>
    </xf>
    <xf numFmtId="0" fontId="4"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4" fillId="5" borderId="1" xfId="0" applyFont="1" applyFill="1" applyBorder="1" applyAlignment="1">
      <alignment vertical="center" wrapText="1"/>
    </xf>
    <xf numFmtId="0" fontId="0" fillId="0" borderId="1" xfId="0" applyFill="1" applyBorder="1" applyAlignment="1">
      <alignment horizontal="center" vertical="center" wrapText="1"/>
    </xf>
    <xf numFmtId="0" fontId="0" fillId="5" borderId="3" xfId="0" applyFill="1" applyBorder="1" applyAlignment="1">
      <alignment horizontal="center" vertical="center" wrapText="1"/>
    </xf>
    <xf numFmtId="0" fontId="0" fillId="0" borderId="3" xfId="0" applyFill="1" applyBorder="1" applyAlignment="1">
      <alignment horizontal="center" vertical="center" wrapText="1"/>
    </xf>
    <xf numFmtId="0" fontId="11" fillId="5" borderId="1"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5" borderId="4" xfId="0" applyFill="1" applyBorder="1" applyAlignment="1">
      <alignment horizontal="center" vertical="center" wrapText="1"/>
    </xf>
    <xf numFmtId="0" fontId="0" fillId="0" borderId="4" xfId="0" applyFill="1" applyBorder="1" applyAlignment="1">
      <alignment horizontal="center" vertical="center" wrapText="1"/>
    </xf>
    <xf numFmtId="0" fontId="0" fillId="5" borderId="5" xfId="0" applyFill="1" applyBorder="1" applyAlignment="1">
      <alignment horizontal="center" vertical="center" wrapText="1"/>
    </xf>
    <xf numFmtId="0" fontId="0" fillId="0" borderId="5" xfId="0" applyFill="1" applyBorder="1" applyAlignment="1">
      <alignment horizontal="center" vertical="center" wrapText="1"/>
    </xf>
    <xf numFmtId="0" fontId="3" fillId="0" borderId="3"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0" fillId="0" borderId="2"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0" fillId="8" borderId="2" xfId="0" applyFill="1" applyBorder="1" applyAlignment="1">
      <alignment horizontal="center" vertical="center" wrapText="1"/>
    </xf>
    <xf numFmtId="0" fontId="0" fillId="8" borderId="3" xfId="0" applyFill="1" applyBorder="1" applyAlignment="1">
      <alignment horizontal="center" vertical="center" wrapText="1"/>
    </xf>
    <xf numFmtId="0" fontId="0" fillId="8" borderId="5" xfId="0" applyFill="1" applyBorder="1" applyAlignment="1">
      <alignment horizontal="center" vertical="center" wrapText="1"/>
    </xf>
    <xf numFmtId="0" fontId="0" fillId="0" borderId="6" xfId="0" applyFill="1" applyBorder="1" applyAlignment="1">
      <alignment horizontal="center" vertical="center" wrapText="1"/>
    </xf>
    <xf numFmtId="0" fontId="0" fillId="0" borderId="7" xfId="0"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8" xfId="0"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1" xfId="0" applyFont="1" applyFill="1" applyBorder="1" applyAlignment="1">
      <alignment vertical="center" wrapText="1"/>
    </xf>
    <xf numFmtId="0" fontId="12" fillId="9" borderId="1" xfId="0" applyFont="1" applyFill="1" applyBorder="1" applyAlignment="1">
      <alignment horizontal="center" vertical="center" wrapText="1"/>
    </xf>
    <xf numFmtId="0" fontId="10" fillId="9" borderId="1" xfId="0" applyFont="1" applyFill="1" applyBorder="1" applyAlignment="1">
      <alignment horizontal="center" vertical="center"/>
    </xf>
    <xf numFmtId="0" fontId="11" fillId="0" borderId="4"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5" borderId="1" xfId="0" applyFont="1" applyFill="1" applyBorder="1" applyAlignment="1">
      <alignment vertical="center" wrapText="1"/>
    </xf>
    <xf numFmtId="0" fontId="10" fillId="5" borderId="1"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0" fillId="0" borderId="3" xfId="0" applyFill="1" applyBorder="1" applyAlignment="1">
      <alignment horizontal="center" vertical="center"/>
    </xf>
    <xf numFmtId="0" fontId="11" fillId="5" borderId="3" xfId="0" applyFont="1" applyFill="1" applyBorder="1" applyAlignment="1">
      <alignment vertical="center" wrapText="1"/>
    </xf>
    <xf numFmtId="0" fontId="12" fillId="7" borderId="1" xfId="0" applyFont="1" applyFill="1" applyBorder="1" applyAlignment="1">
      <alignment horizontal="center" vertical="center" wrapText="1"/>
    </xf>
    <xf numFmtId="0" fontId="0" fillId="0" borderId="4" xfId="0" applyFill="1" applyBorder="1" applyAlignment="1">
      <alignment horizontal="center" vertical="center"/>
    </xf>
    <xf numFmtId="0" fontId="10" fillId="7" borderId="1" xfId="0" applyFont="1" applyFill="1" applyBorder="1" applyAlignment="1">
      <alignment horizontal="center" vertical="center" wrapText="1"/>
    </xf>
    <xf numFmtId="0" fontId="0" fillId="8" borderId="3" xfId="0" applyFill="1" applyBorder="1" applyAlignment="1">
      <alignment horizontal="center" vertical="center"/>
    </xf>
    <xf numFmtId="0" fontId="11" fillId="8" borderId="3" xfId="0" applyFont="1" applyFill="1" applyBorder="1" applyAlignment="1">
      <alignment vertical="center" wrapText="1"/>
    </xf>
    <xf numFmtId="0" fontId="12" fillId="8" borderId="1" xfId="0" applyFont="1" applyFill="1" applyBorder="1" applyAlignment="1">
      <alignment horizontal="center" vertical="center" wrapText="1"/>
    </xf>
    <xf numFmtId="0" fontId="10" fillId="8" borderId="1" xfId="0" applyFont="1" applyFill="1" applyBorder="1" applyAlignment="1">
      <alignment horizontal="center" vertical="center"/>
    </xf>
    <xf numFmtId="0" fontId="0" fillId="8" borderId="6" xfId="0" applyFill="1" applyBorder="1" applyAlignment="1">
      <alignment horizontal="center" vertical="center" wrapText="1"/>
    </xf>
    <xf numFmtId="0" fontId="11" fillId="8" borderId="1" xfId="0" applyFont="1" applyFill="1" applyBorder="1" applyAlignment="1">
      <alignment vertical="center" wrapText="1"/>
    </xf>
    <xf numFmtId="0" fontId="0" fillId="8" borderId="4" xfId="0" applyFill="1" applyBorder="1" applyAlignment="1">
      <alignment horizontal="center" vertical="center" wrapText="1"/>
    </xf>
    <xf numFmtId="0" fontId="0" fillId="8" borderId="4" xfId="0" applyFill="1" applyBorder="1" applyAlignment="1">
      <alignment horizontal="center" vertical="center"/>
    </xf>
    <xf numFmtId="0" fontId="0" fillId="8" borderId="7" xfId="0" applyFill="1" applyBorder="1" applyAlignment="1">
      <alignment horizontal="center" vertical="center" wrapText="1"/>
    </xf>
    <xf numFmtId="0" fontId="10" fillId="8" borderId="1"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1" fillId="0" borderId="3" xfId="0" applyFont="1" applyFill="1" applyBorder="1" applyAlignment="1">
      <alignment vertical="center" wrapText="1"/>
    </xf>
    <xf numFmtId="0" fontId="0" fillId="10" borderId="4" xfId="0" applyFill="1" applyBorder="1" applyAlignment="1">
      <alignment horizontal="center" vertical="center" wrapText="1"/>
    </xf>
    <xf numFmtId="0" fontId="3" fillId="11"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0" fillId="10" borderId="5" xfId="0" applyFill="1" applyBorder="1" applyAlignment="1">
      <alignment vertical="center" wrapText="1"/>
    </xf>
    <xf numFmtId="0" fontId="0" fillId="10" borderId="3" xfId="0" applyFill="1" applyBorder="1" applyAlignment="1">
      <alignment horizontal="center" vertical="center" wrapText="1"/>
    </xf>
    <xf numFmtId="0" fontId="0" fillId="10" borderId="1" xfId="0" applyFill="1" applyBorder="1" applyAlignment="1">
      <alignment vertical="center" wrapText="1"/>
    </xf>
    <xf numFmtId="0" fontId="11" fillId="12" borderId="3"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11" fillId="12" borderId="4" xfId="0" applyFont="1" applyFill="1" applyBorder="1" applyAlignment="1">
      <alignment horizontal="center" vertical="center" wrapText="1"/>
    </xf>
    <xf numFmtId="0" fontId="13" fillId="10" borderId="7"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0" borderId="0" xfId="0" applyFont="1" applyFill="1" applyBorder="1" applyAlignment="1">
      <alignment vertical="center" wrapText="1"/>
    </xf>
    <xf numFmtId="0" fontId="11" fillId="11" borderId="4"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0" fillId="12" borderId="1" xfId="0" applyFill="1" applyBorder="1" applyAlignment="1">
      <alignment vertical="center" wrapText="1"/>
    </xf>
    <xf numFmtId="0" fontId="11" fillId="11" borderId="5" xfId="0" applyFont="1" applyFill="1" applyBorder="1" applyAlignment="1">
      <alignment vertical="center" wrapText="1"/>
    </xf>
    <xf numFmtId="0" fontId="11" fillId="11" borderId="5"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0" fillId="12" borderId="2" xfId="0" applyFill="1" applyBorder="1" applyAlignment="1">
      <alignment vertical="center" wrapText="1"/>
    </xf>
    <xf numFmtId="0" fontId="0" fillId="0" borderId="9" xfId="0" applyFill="1" applyBorder="1" applyAlignment="1">
      <alignment vertical="center" wrapText="1"/>
    </xf>
    <xf numFmtId="0" fontId="11" fillId="11" borderId="4" xfId="0" applyFont="1" applyFill="1" applyBorder="1" applyAlignment="1">
      <alignment vertical="center" wrapText="1"/>
    </xf>
    <xf numFmtId="0" fontId="1" fillId="8" borderId="1" xfId="0" applyFont="1" applyFill="1" applyBorder="1" applyAlignment="1">
      <alignment horizontal="center" vertical="center" wrapText="1"/>
    </xf>
    <xf numFmtId="0" fontId="11" fillId="8"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1" fillId="8" borderId="5" xfId="0" applyFont="1" applyFill="1" applyBorder="1" applyAlignment="1">
      <alignment vertical="center" wrapText="1"/>
    </xf>
    <xf numFmtId="0" fontId="11" fillId="8" borderId="5"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1" fillId="8" borderId="4" xfId="0" applyFont="1" applyFill="1" applyBorder="1" applyAlignment="1">
      <alignment vertical="center" wrapText="1"/>
    </xf>
    <xf numFmtId="0" fontId="3" fillId="13" borderId="1"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0" fillId="8" borderId="2" xfId="0" applyFill="1" applyBorder="1" applyAlignment="1">
      <alignment vertical="center" wrapText="1"/>
    </xf>
    <xf numFmtId="0" fontId="14" fillId="8" borderId="3"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3" fillId="0" borderId="0" xfId="0" applyFont="1" applyBorder="1">
      <alignment vertical="center"/>
    </xf>
    <xf numFmtId="0" fontId="3" fillId="0" borderId="0" xfId="0" applyFont="1" applyFill="1" applyBorder="1">
      <alignment vertical="center"/>
    </xf>
    <xf numFmtId="0" fontId="0" fillId="0" borderId="0" xfId="0" applyBorder="1">
      <alignment vertical="center"/>
    </xf>
    <xf numFmtId="0" fontId="0" fillId="0" borderId="0" xfId="0" applyFill="1" applyBorder="1">
      <alignment vertical="center"/>
    </xf>
    <xf numFmtId="0" fontId="0" fillId="0" borderId="0" xfId="0" applyFont="1" applyFill="1" applyAlignment="1"/>
    <xf numFmtId="0" fontId="0" fillId="0" borderId="0" xfId="0" applyFont="1" applyBorder="1">
      <alignment vertical="center"/>
    </xf>
    <xf numFmtId="0" fontId="0" fillId="0" borderId="0" xfId="0" applyBorder="1" applyAlignment="1">
      <alignment horizontal="center" vertical="center"/>
    </xf>
    <xf numFmtId="0" fontId="3" fillId="0" borderId="0" xfId="0" applyFont="1" applyBorder="1" applyAlignment="1">
      <alignment horizontal="center" vertical="center"/>
    </xf>
    <xf numFmtId="0" fontId="0" fillId="0" borderId="0" xfId="0" applyFont="1" applyBorder="1" applyAlignment="1">
      <alignment horizontal="center" vertical="center"/>
    </xf>
    <xf numFmtId="0" fontId="1" fillId="0" borderId="0" xfId="0" applyFont="1" applyBorder="1" applyAlignment="1">
      <alignment horizontal="center" vertical="center"/>
    </xf>
    <xf numFmtId="0" fontId="3" fillId="9" borderId="3" xfId="0" applyFont="1" applyFill="1" applyBorder="1" applyAlignment="1">
      <alignment horizontal="center" vertical="center"/>
    </xf>
    <xf numFmtId="0" fontId="3" fillId="9" borderId="1" xfId="0" applyFont="1" applyFill="1" applyBorder="1" applyAlignment="1">
      <alignment horizontal="center" vertical="center"/>
    </xf>
    <xf numFmtId="0" fontId="8" fillId="9"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3" fillId="9" borderId="4" xfId="0" applyFont="1" applyFill="1" applyBorder="1" applyAlignment="1">
      <alignment horizontal="center" vertical="center"/>
    </xf>
    <xf numFmtId="0" fontId="3" fillId="9" borderId="3" xfId="0" applyFont="1" applyFill="1" applyBorder="1" applyAlignment="1">
      <alignment horizontal="center" vertical="center" wrapText="1"/>
    </xf>
    <xf numFmtId="0" fontId="3" fillId="9" borderId="5" xfId="0" applyFont="1" applyFill="1" applyBorder="1" applyAlignment="1">
      <alignment horizontal="center" vertical="center"/>
    </xf>
    <xf numFmtId="0" fontId="10" fillId="9" borderId="4" xfId="0" applyFont="1" applyFill="1" applyBorder="1" applyAlignment="1">
      <alignment horizontal="center" vertical="center" wrapText="1"/>
    </xf>
    <xf numFmtId="0" fontId="10" fillId="14" borderId="3" xfId="0" applyFont="1" applyFill="1" applyBorder="1" applyAlignment="1">
      <alignment horizontal="center" vertical="center"/>
    </xf>
    <xf numFmtId="0" fontId="10" fillId="14" borderId="10" xfId="0" applyFont="1" applyFill="1" applyBorder="1" applyAlignment="1">
      <alignment horizontal="center" vertical="center"/>
    </xf>
    <xf numFmtId="0" fontId="10" fillId="14" borderId="3"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10" fillId="14" borderId="1" xfId="0" applyFont="1" applyFill="1" applyBorder="1" applyAlignment="1">
      <alignment horizontal="center" vertical="center"/>
    </xf>
    <xf numFmtId="0" fontId="7" fillId="14" borderId="1" xfId="0" applyFont="1" applyFill="1" applyBorder="1" applyAlignment="1">
      <alignment horizontal="center" vertical="center" wrapText="1"/>
    </xf>
    <xf numFmtId="0" fontId="10" fillId="14" borderId="4" xfId="0" applyFont="1" applyFill="1" applyBorder="1" applyAlignment="1">
      <alignment horizontal="center" vertical="center"/>
    </xf>
    <xf numFmtId="0" fontId="10" fillId="14" borderId="11" xfId="0" applyFont="1" applyFill="1" applyBorder="1" applyAlignment="1">
      <alignment horizontal="center" vertical="center"/>
    </xf>
    <xf numFmtId="0" fontId="10" fillId="14" borderId="4" xfId="0" applyFont="1" applyFill="1" applyBorder="1" applyAlignment="1">
      <alignment horizontal="center" vertical="center" wrapText="1"/>
    </xf>
    <xf numFmtId="0" fontId="10" fillId="14" borderId="5" xfId="0" applyFont="1" applyFill="1" applyBorder="1" applyAlignment="1">
      <alignment horizontal="center" vertical="center"/>
    </xf>
    <xf numFmtId="0" fontId="10" fillId="14" borderId="12" xfId="0" applyFont="1" applyFill="1" applyBorder="1" applyAlignment="1">
      <alignment horizontal="center" vertical="center"/>
    </xf>
    <xf numFmtId="0" fontId="10" fillId="14" borderId="5"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14" borderId="13" xfId="0" applyFont="1" applyFill="1" applyBorder="1" applyAlignment="1">
      <alignment horizontal="center" vertical="center"/>
    </xf>
    <xf numFmtId="0" fontId="3" fillId="15" borderId="3" xfId="0" applyFont="1" applyFill="1" applyBorder="1" applyAlignment="1">
      <alignment horizontal="center" vertical="center"/>
    </xf>
    <xf numFmtId="0" fontId="3" fillId="15" borderId="3"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5" borderId="1" xfId="0" applyFont="1" applyFill="1" applyBorder="1" applyAlignment="1">
      <alignment horizontal="center" vertical="center"/>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7" fillId="15" borderId="1" xfId="0" applyFont="1" applyFill="1" applyBorder="1" applyAlignment="1">
      <alignment horizontal="center" vertical="center" wrapText="1"/>
    </xf>
    <xf numFmtId="0" fontId="3" fillId="15" borderId="4" xfId="0" applyFont="1" applyFill="1" applyBorder="1" applyAlignment="1">
      <alignment horizontal="center" vertical="center"/>
    </xf>
    <xf numFmtId="0" fontId="3" fillId="15" borderId="4" xfId="0" applyFont="1" applyFill="1" applyBorder="1" applyAlignment="1">
      <alignment horizontal="center" vertical="center" wrapText="1"/>
    </xf>
    <xf numFmtId="0" fontId="8" fillId="15" borderId="4" xfId="0" applyFont="1" applyFill="1" applyBorder="1" applyAlignment="1">
      <alignment horizontal="center" vertical="center"/>
    </xf>
    <xf numFmtId="0" fontId="3" fillId="15" borderId="5" xfId="0" applyFont="1" applyFill="1" applyBorder="1" applyAlignment="1">
      <alignment horizontal="center" vertical="center"/>
    </xf>
    <xf numFmtId="0" fontId="3" fillId="15" borderId="5" xfId="0" applyFont="1" applyFill="1" applyBorder="1" applyAlignment="1">
      <alignment horizontal="center" vertical="center" wrapText="1"/>
    </xf>
    <xf numFmtId="0" fontId="8" fillId="15" borderId="5" xfId="0" applyFont="1" applyFill="1" applyBorder="1" applyAlignment="1">
      <alignment horizontal="center" vertical="center"/>
    </xf>
    <xf numFmtId="0" fontId="10" fillId="15" borderId="3" xfId="0" applyFont="1" applyFill="1" applyBorder="1" applyAlignment="1">
      <alignment horizontal="center" vertical="center" wrapText="1"/>
    </xf>
    <xf numFmtId="0" fontId="10" fillId="15" borderId="4" xfId="0" applyFont="1" applyFill="1" applyBorder="1" applyAlignment="1">
      <alignment horizontal="center" vertical="center" wrapText="1"/>
    </xf>
    <xf numFmtId="0" fontId="10" fillId="15" borderId="5"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8" fillId="16" borderId="1" xfId="0" applyFont="1" applyFill="1" applyBorder="1" applyAlignment="1">
      <alignment horizontal="center" vertical="center"/>
    </xf>
    <xf numFmtId="0" fontId="8" fillId="16"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10" fillId="16" borderId="1" xfId="0" applyFont="1" applyFill="1" applyBorder="1" applyAlignment="1">
      <alignment horizontal="center" vertical="center"/>
    </xf>
    <xf numFmtId="0" fontId="6" fillId="16" borderId="1" xfId="0" applyFont="1" applyFill="1" applyBorder="1" applyAlignment="1">
      <alignment horizontal="center" vertical="center" wrapText="1"/>
    </xf>
    <xf numFmtId="0" fontId="8" fillId="16" borderId="3" xfId="0" applyFont="1" applyFill="1" applyBorder="1" applyAlignment="1">
      <alignment horizontal="center" vertical="center"/>
    </xf>
    <xf numFmtId="0" fontId="8" fillId="16" borderId="4" xfId="0" applyFont="1" applyFill="1" applyBorder="1" applyAlignment="1">
      <alignment horizontal="center" vertical="center"/>
    </xf>
    <xf numFmtId="0" fontId="8" fillId="16" borderId="5" xfId="0" applyFont="1" applyFill="1" applyBorder="1" applyAlignment="1">
      <alignment horizontal="center" vertical="center"/>
    </xf>
    <xf numFmtId="0" fontId="3" fillId="17" borderId="3" xfId="0" applyFont="1" applyFill="1" applyBorder="1" applyAlignment="1">
      <alignment horizontal="center" vertical="center"/>
    </xf>
    <xf numFmtId="0" fontId="8" fillId="17" borderId="1" xfId="0" applyFont="1" applyFill="1" applyBorder="1" applyAlignment="1">
      <alignment horizontal="center" vertical="center"/>
    </xf>
    <xf numFmtId="0" fontId="8" fillId="17" borderId="10" xfId="0" applyFont="1" applyFill="1" applyBorder="1" applyAlignment="1">
      <alignment horizontal="center" vertical="center"/>
    </xf>
    <xf numFmtId="0" fontId="3" fillId="17" borderId="3"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8" fillId="17" borderId="3" xfId="0" applyFont="1" applyFill="1" applyBorder="1" applyAlignment="1">
      <alignment horizontal="center" vertical="center"/>
    </xf>
    <xf numFmtId="0" fontId="7" fillId="17" borderId="1" xfId="0" applyFont="1" applyFill="1" applyBorder="1" applyAlignment="1">
      <alignment horizontal="center" vertical="center" wrapText="1"/>
    </xf>
    <xf numFmtId="0" fontId="3" fillId="17" borderId="4" xfId="0" applyFont="1" applyFill="1" applyBorder="1" applyAlignment="1">
      <alignment horizontal="center" vertical="center"/>
    </xf>
    <xf numFmtId="0" fontId="8" fillId="17" borderId="11" xfId="0" applyFont="1" applyFill="1" applyBorder="1" applyAlignment="1">
      <alignment horizontal="center" vertical="center"/>
    </xf>
    <xf numFmtId="0" fontId="3" fillId="17" borderId="4" xfId="0" applyFont="1" applyFill="1" applyBorder="1" applyAlignment="1">
      <alignment horizontal="center" vertical="center" wrapText="1"/>
    </xf>
    <xf numFmtId="0" fontId="8" fillId="17" borderId="4" xfId="0" applyFont="1" applyFill="1" applyBorder="1" applyAlignment="1">
      <alignment horizontal="center" vertical="center"/>
    </xf>
    <xf numFmtId="0" fontId="9" fillId="17" borderId="1" xfId="0" applyFont="1" applyFill="1" applyBorder="1" applyAlignment="1">
      <alignment horizontal="center" vertical="center" wrapText="1"/>
    </xf>
    <xf numFmtId="0" fontId="3" fillId="17" borderId="5" xfId="0" applyFont="1" applyFill="1" applyBorder="1" applyAlignment="1">
      <alignment horizontal="center" vertical="center"/>
    </xf>
    <xf numFmtId="0" fontId="8" fillId="17" borderId="12" xfId="0" applyFont="1" applyFill="1" applyBorder="1" applyAlignment="1">
      <alignment horizontal="center" vertical="center"/>
    </xf>
    <xf numFmtId="0" fontId="3" fillId="17" borderId="5" xfId="0" applyFont="1" applyFill="1" applyBorder="1" applyAlignment="1">
      <alignment horizontal="center" vertical="center" wrapText="1"/>
    </xf>
    <xf numFmtId="0" fontId="8" fillId="17" borderId="5" xfId="0" applyFont="1" applyFill="1" applyBorder="1" applyAlignment="1">
      <alignment horizontal="center" vertical="center"/>
    </xf>
    <xf numFmtId="0" fontId="3" fillId="18" borderId="3" xfId="0" applyFont="1" applyFill="1" applyBorder="1" applyAlignment="1">
      <alignment horizontal="center" vertical="center"/>
    </xf>
    <xf numFmtId="0" fontId="9" fillId="18" borderId="3" xfId="0" applyFont="1" applyFill="1" applyBorder="1" applyAlignment="1">
      <alignment horizontal="center" vertical="center"/>
    </xf>
    <xf numFmtId="0" fontId="3" fillId="18" borderId="3"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8" borderId="1" xfId="0" applyFont="1" applyFill="1" applyBorder="1" applyAlignment="1">
      <alignment horizontal="center" vertical="center"/>
    </xf>
    <xf numFmtId="0" fontId="8" fillId="18" borderId="1" xfId="0" applyFont="1" applyFill="1" applyBorder="1" applyAlignment="1">
      <alignment horizontal="center" vertical="center"/>
    </xf>
    <xf numFmtId="0" fontId="8" fillId="18" borderId="3" xfId="0" applyFont="1" applyFill="1" applyBorder="1" applyAlignment="1">
      <alignment horizontal="center" vertical="center"/>
    </xf>
    <xf numFmtId="0" fontId="7" fillId="18" borderId="1" xfId="0" applyFont="1" applyFill="1" applyBorder="1" applyAlignment="1">
      <alignment horizontal="center" vertical="center" wrapText="1"/>
    </xf>
    <xf numFmtId="0" fontId="3" fillId="18" borderId="4" xfId="0" applyFont="1" applyFill="1" applyBorder="1" applyAlignment="1">
      <alignment horizontal="center" vertical="center"/>
    </xf>
    <xf numFmtId="0" fontId="9" fillId="18" borderId="4" xfId="0" applyFont="1" applyFill="1" applyBorder="1" applyAlignment="1">
      <alignment horizontal="center" vertical="center"/>
    </xf>
    <xf numFmtId="0" fontId="3" fillId="18" borderId="4" xfId="0" applyFont="1" applyFill="1" applyBorder="1" applyAlignment="1">
      <alignment horizontal="center" vertical="center" wrapText="1"/>
    </xf>
    <xf numFmtId="0" fontId="8" fillId="18" borderId="4" xfId="0" applyFont="1" applyFill="1" applyBorder="1" applyAlignment="1">
      <alignment horizontal="center" vertical="center"/>
    </xf>
    <xf numFmtId="0" fontId="6"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8" fillId="19" borderId="3" xfId="0" applyFont="1" applyFill="1" applyBorder="1" applyAlignment="1">
      <alignment horizontal="center" vertical="center"/>
    </xf>
    <xf numFmtId="0" fontId="8" fillId="19" borderId="3"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8" fillId="19" borderId="1" xfId="0" applyFont="1" applyFill="1" applyBorder="1" applyAlignment="1">
      <alignment horizontal="center" vertical="center"/>
    </xf>
    <xf numFmtId="0" fontId="7" fillId="19" borderId="1" xfId="0" applyFont="1" applyFill="1" applyBorder="1" applyAlignment="1">
      <alignment horizontal="center" vertical="center"/>
    </xf>
    <xf numFmtId="0" fontId="8" fillId="19" borderId="4" xfId="0" applyFont="1" applyFill="1" applyBorder="1" applyAlignment="1">
      <alignment horizontal="center" vertical="center"/>
    </xf>
    <xf numFmtId="0" fontId="8" fillId="19" borderId="4" xfId="0" applyFont="1" applyFill="1" applyBorder="1" applyAlignment="1">
      <alignment horizontal="center" vertical="center" wrapText="1"/>
    </xf>
    <xf numFmtId="0" fontId="6" fillId="19" borderId="1" xfId="0" applyFont="1" applyFill="1" applyBorder="1" applyAlignment="1">
      <alignment horizontal="center" vertical="center"/>
    </xf>
    <xf numFmtId="0" fontId="10" fillId="19" borderId="1" xfId="0" applyFont="1" applyFill="1" applyBorder="1" applyAlignment="1">
      <alignment horizontal="center" vertical="center"/>
    </xf>
    <xf numFmtId="0" fontId="12" fillId="19" borderId="1"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8" fillId="7" borderId="4" xfId="0" applyFont="1" applyFill="1" applyBorder="1" applyAlignment="1">
      <alignment horizontal="center" vertical="center" wrapText="1"/>
    </xf>
    <xf numFmtId="0" fontId="6" fillId="7" borderId="1" xfId="0" applyFont="1" applyFill="1" applyBorder="1" applyAlignment="1">
      <alignment horizontal="center" vertical="center"/>
    </xf>
    <xf numFmtId="0" fontId="8" fillId="19" borderId="5" xfId="0" applyFont="1" applyFill="1" applyBorder="1" applyAlignment="1">
      <alignment horizontal="center" vertical="center"/>
    </xf>
    <xf numFmtId="0" fontId="12" fillId="7" borderId="1" xfId="0" applyFont="1" applyFill="1" applyBorder="1" applyAlignment="1">
      <alignment horizontal="center" vertical="center"/>
    </xf>
    <xf numFmtId="0" fontId="3" fillId="7" borderId="1" xfId="0" applyFont="1" applyFill="1" applyBorder="1" applyAlignment="1">
      <alignment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8" fillId="18" borderId="1" xfId="0" applyFont="1" applyFill="1" applyBorder="1" applyAlignment="1">
      <alignment horizontal="center" vertical="center" wrapText="1"/>
    </xf>
    <xf numFmtId="0" fontId="8" fillId="18" borderId="3" xfId="0" applyFont="1" applyFill="1" applyBorder="1" applyAlignment="1">
      <alignment horizontal="center" vertical="center" wrapText="1"/>
    </xf>
    <xf numFmtId="0" fontId="7" fillId="18" borderId="1" xfId="0" applyFont="1" applyFill="1" applyBorder="1" applyAlignment="1">
      <alignment horizontal="center" vertical="center"/>
    </xf>
    <xf numFmtId="0" fontId="8" fillId="18" borderId="4" xfId="0" applyFont="1" applyFill="1" applyBorder="1" applyAlignment="1">
      <alignment horizontal="center" vertical="center" wrapText="1"/>
    </xf>
    <xf numFmtId="0" fontId="6" fillId="18" borderId="1" xfId="0" applyFont="1" applyFill="1" applyBorder="1" applyAlignment="1">
      <alignment horizontal="center" vertical="center"/>
    </xf>
    <xf numFmtId="0" fontId="3" fillId="18" borderId="5" xfId="0" applyFont="1" applyFill="1" applyBorder="1" applyAlignment="1">
      <alignment horizontal="center" vertical="center"/>
    </xf>
    <xf numFmtId="0" fontId="2" fillId="18" borderId="1" xfId="0" applyFont="1" applyFill="1" applyBorder="1" applyAlignment="1">
      <alignment horizontal="center" vertical="center" wrapText="1"/>
    </xf>
    <xf numFmtId="0" fontId="8" fillId="18" borderId="5" xfId="0" applyFont="1" applyFill="1" applyBorder="1" applyAlignment="1">
      <alignment horizontal="center" vertical="center" wrapText="1"/>
    </xf>
    <xf numFmtId="0" fontId="8" fillId="18" borderId="2" xfId="0" applyFont="1" applyFill="1" applyBorder="1" applyAlignment="1">
      <alignment horizontal="center" vertical="center"/>
    </xf>
    <xf numFmtId="0" fontId="2" fillId="18" borderId="1" xfId="0" applyFont="1" applyFill="1" applyBorder="1" applyAlignment="1">
      <alignment horizontal="center" vertical="center"/>
    </xf>
    <xf numFmtId="0" fontId="8" fillId="18" borderId="5" xfId="0" applyFont="1" applyFill="1" applyBorder="1" applyAlignment="1">
      <alignment horizontal="center" vertical="center"/>
    </xf>
    <xf numFmtId="0" fontId="0" fillId="18" borderId="1" xfId="0" applyFont="1" applyFill="1" applyBorder="1" applyAlignment="1">
      <alignment horizontal="center" vertical="center"/>
    </xf>
    <xf numFmtId="0" fontId="0" fillId="18" borderId="3" xfId="0" applyFont="1" applyFill="1" applyBorder="1" applyAlignment="1">
      <alignment horizontal="center" vertical="center"/>
    </xf>
    <xf numFmtId="0" fontId="0" fillId="18" borderId="4" xfId="0" applyFont="1" applyFill="1" applyBorder="1" applyAlignment="1">
      <alignment horizontal="center" vertical="center"/>
    </xf>
    <xf numFmtId="0" fontId="8" fillId="18" borderId="9" xfId="0" applyFont="1" applyFill="1" applyBorder="1" applyAlignment="1">
      <alignment horizontal="center" vertical="center" wrapText="1"/>
    </xf>
    <xf numFmtId="0" fontId="0" fillId="18" borderId="5"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0" xfId="0" applyFont="1" applyFill="1" applyAlignment="1">
      <alignment horizontal="center" vertical="center"/>
    </xf>
    <xf numFmtId="0" fontId="8" fillId="20" borderId="1" xfId="0" applyFont="1" applyFill="1" applyBorder="1" applyAlignment="1">
      <alignment horizontal="center" vertical="center"/>
    </xf>
    <xf numFmtId="0" fontId="2" fillId="20" borderId="1" xfId="0" applyFont="1" applyFill="1" applyBorder="1" applyAlignment="1">
      <alignment horizontal="center" vertical="center" wrapText="1"/>
    </xf>
    <xf numFmtId="0" fontId="7" fillId="20" borderId="1" xfId="0" applyFont="1" applyFill="1" applyBorder="1" applyAlignment="1">
      <alignment horizontal="center" vertical="center"/>
    </xf>
    <xf numFmtId="0" fontId="8" fillId="20" borderId="3" xfId="0" applyFont="1" applyFill="1" applyBorder="1" applyAlignment="1">
      <alignment horizontal="center" vertical="center"/>
    </xf>
    <xf numFmtId="0" fontId="8" fillId="20" borderId="4" xfId="0" applyFont="1" applyFill="1" applyBorder="1" applyAlignment="1">
      <alignment horizontal="center" vertical="center"/>
    </xf>
    <xf numFmtId="0" fontId="15" fillId="20" borderId="1" xfId="50" applyFont="1" applyFill="1" applyBorder="1" applyAlignment="1">
      <alignment horizontal="center" vertical="center"/>
    </xf>
    <xf numFmtId="0" fontId="6" fillId="20" borderId="1" xfId="0" applyFont="1" applyFill="1" applyBorder="1" applyAlignment="1">
      <alignment horizontal="center" vertical="center"/>
    </xf>
    <xf numFmtId="0" fontId="16" fillId="20" borderId="1" xfId="50" applyFont="1" applyFill="1" applyBorder="1" applyAlignment="1">
      <alignment horizontal="center" vertical="center"/>
    </xf>
    <xf numFmtId="0" fontId="8" fillId="20" borderId="1" xfId="0" applyFont="1" applyFill="1" applyBorder="1">
      <alignment vertical="center"/>
    </xf>
    <xf numFmtId="0" fontId="17" fillId="20" borderId="1" xfId="50" applyFont="1" applyFill="1" applyBorder="1" applyAlignment="1">
      <alignment horizontal="center" vertical="center"/>
    </xf>
    <xf numFmtId="0" fontId="10" fillId="20" borderId="1" xfId="0" applyFont="1" applyFill="1" applyBorder="1" applyAlignment="1">
      <alignment horizontal="center" vertical="center"/>
    </xf>
    <xf numFmtId="0" fontId="8" fillId="20" borderId="5"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xf>
    <xf numFmtId="0" fontId="10" fillId="20" borderId="3" xfId="0" applyFont="1" applyFill="1" applyBorder="1" applyAlignment="1">
      <alignment horizontal="center" vertical="center"/>
    </xf>
    <xf numFmtId="0" fontId="10" fillId="20" borderId="4" xfId="0" applyFont="1" applyFill="1" applyBorder="1" applyAlignment="1">
      <alignment horizontal="center" vertical="center"/>
    </xf>
    <xf numFmtId="0" fontId="10" fillId="20" borderId="5" xfId="0" applyFont="1" applyFill="1" applyBorder="1" applyAlignment="1">
      <alignment horizontal="center" vertical="center"/>
    </xf>
    <xf numFmtId="0" fontId="8" fillId="7" borderId="1" xfId="0" applyFont="1" applyFill="1" applyBorder="1">
      <alignment vertical="center"/>
    </xf>
    <xf numFmtId="0" fontId="8" fillId="21" borderId="1" xfId="0" applyFont="1" applyFill="1" applyBorder="1" applyAlignment="1">
      <alignment horizontal="center" vertical="center"/>
    </xf>
    <xf numFmtId="0" fontId="2" fillId="21" borderId="1" xfId="0" applyFont="1" applyFill="1" applyBorder="1" applyAlignment="1">
      <alignment horizontal="center" vertical="center" wrapText="1"/>
    </xf>
    <xf numFmtId="0" fontId="7" fillId="21" borderId="1" xfId="0" applyFont="1" applyFill="1" applyBorder="1" applyAlignment="1">
      <alignment horizontal="center" vertical="center"/>
    </xf>
    <xf numFmtId="0" fontId="8" fillId="21" borderId="3" xfId="0" applyFont="1" applyFill="1" applyBorder="1" applyAlignment="1">
      <alignment horizontal="center" vertical="center"/>
    </xf>
    <xf numFmtId="0" fontId="8" fillId="21" borderId="4" xfId="0" applyFont="1" applyFill="1" applyBorder="1" applyAlignment="1">
      <alignment horizontal="center" vertical="center"/>
    </xf>
    <xf numFmtId="0" fontId="6" fillId="21" borderId="1" xfId="0" applyFont="1" applyFill="1" applyBorder="1" applyAlignment="1">
      <alignment horizontal="center" vertical="center"/>
    </xf>
    <xf numFmtId="0" fontId="14" fillId="21" borderId="1" xfId="0" applyFont="1" applyFill="1" applyBorder="1" applyAlignment="1">
      <alignment horizontal="center" vertical="center"/>
    </xf>
    <xf numFmtId="0" fontId="8" fillId="21" borderId="5" xfId="0" applyFont="1" applyFill="1" applyBorder="1" applyAlignment="1">
      <alignment horizontal="center" vertical="center"/>
    </xf>
    <xf numFmtId="0" fontId="8" fillId="22" borderId="1" xfId="0" applyFont="1" applyFill="1" applyBorder="1" applyAlignment="1">
      <alignment horizontal="center" vertical="center"/>
    </xf>
    <xf numFmtId="0" fontId="2" fillId="22" borderId="1" xfId="0" applyFont="1" applyFill="1" applyBorder="1" applyAlignment="1">
      <alignment horizontal="center" vertical="center" wrapText="1"/>
    </xf>
    <xf numFmtId="0" fontId="7" fillId="22" borderId="1" xfId="0" applyFont="1" applyFill="1" applyBorder="1" applyAlignment="1">
      <alignment horizontal="center" vertical="center"/>
    </xf>
    <xf numFmtId="0" fontId="8" fillId="22" borderId="3" xfId="0" applyFont="1" applyFill="1" applyBorder="1" applyAlignment="1">
      <alignment horizontal="center" vertical="center"/>
    </xf>
    <xf numFmtId="0" fontId="8" fillId="22" borderId="4" xfId="0" applyFont="1" applyFill="1" applyBorder="1" applyAlignment="1">
      <alignment horizontal="center" vertical="center"/>
    </xf>
    <xf numFmtId="0" fontId="6" fillId="22" borderId="1" xfId="0" applyFont="1" applyFill="1" applyBorder="1" applyAlignment="1">
      <alignment horizontal="center" vertical="center"/>
    </xf>
    <xf numFmtId="0" fontId="8" fillId="22" borderId="5" xfId="0" applyFont="1" applyFill="1" applyBorder="1" applyAlignment="1">
      <alignment horizontal="center" vertical="center"/>
    </xf>
    <xf numFmtId="0" fontId="0" fillId="17" borderId="1" xfId="0" applyFill="1" applyBorder="1" applyAlignment="1">
      <alignment horizontal="center" vertical="center"/>
    </xf>
    <xf numFmtId="0" fontId="9" fillId="15" borderId="15" xfId="0" applyFont="1" applyFill="1" applyBorder="1" applyAlignment="1">
      <alignment horizontal="center" vertical="center"/>
    </xf>
    <xf numFmtId="0" fontId="8" fillId="15" borderId="10" xfId="0" applyFont="1" applyFill="1" applyBorder="1" applyAlignment="1">
      <alignment horizontal="center" vertical="center"/>
    </xf>
    <xf numFmtId="0" fontId="3" fillId="15" borderId="16" xfId="0" applyFont="1" applyFill="1" applyBorder="1" applyAlignment="1">
      <alignment horizontal="center" vertical="center"/>
    </xf>
    <xf numFmtId="0" fontId="8" fillId="15" borderId="11" xfId="0" applyFont="1" applyFill="1" applyBorder="1" applyAlignment="1">
      <alignment horizontal="center" vertical="center"/>
    </xf>
    <xf numFmtId="0" fontId="9" fillId="15" borderId="1" xfId="0" applyFont="1" applyFill="1" applyBorder="1" applyAlignment="1">
      <alignment horizontal="center" vertical="center" wrapText="1"/>
    </xf>
    <xf numFmtId="0" fontId="3" fillId="15" borderId="17" xfId="0" applyFont="1" applyFill="1" applyBorder="1" applyAlignment="1">
      <alignment horizontal="center" vertical="center"/>
    </xf>
    <xf numFmtId="0" fontId="8" fillId="15" borderId="12" xfId="0" applyFont="1" applyFill="1" applyBorder="1" applyAlignment="1">
      <alignment horizontal="center" vertical="center"/>
    </xf>
    <xf numFmtId="0" fontId="3" fillId="10" borderId="1" xfId="0" applyFont="1" applyFill="1" applyBorder="1" applyAlignment="1">
      <alignment horizontal="center" vertical="center"/>
    </xf>
    <xf numFmtId="0" fontId="9" fillId="10" borderId="1" xfId="0" applyFont="1" applyFill="1" applyBorder="1" applyAlignment="1">
      <alignment horizontal="center" vertical="center"/>
    </xf>
    <xf numFmtId="0" fontId="14" fillId="10" borderId="1" xfId="0" applyFont="1" applyFill="1" applyBorder="1" applyAlignment="1">
      <alignment horizontal="center" vertical="center"/>
    </xf>
    <xf numFmtId="0" fontId="18" fillId="10" borderId="3" xfId="0" applyFont="1" applyFill="1" applyBorder="1" applyAlignment="1">
      <alignment horizontal="center" vertical="center" wrapText="1"/>
    </xf>
    <xf numFmtId="0" fontId="19" fillId="10" borderId="1" xfId="0" applyFont="1" applyFill="1" applyBorder="1" applyAlignment="1">
      <alignment horizontal="center" vertical="center"/>
    </xf>
    <xf numFmtId="0" fontId="20" fillId="10" borderId="4" xfId="0" applyFont="1" applyFill="1" applyBorder="1" applyAlignment="1">
      <alignment horizontal="center" vertical="center" wrapText="1"/>
    </xf>
    <xf numFmtId="0" fontId="10" fillId="10" borderId="1" xfId="0" applyFont="1" applyFill="1" applyBorder="1" applyAlignment="1">
      <alignment horizontal="center" vertical="center"/>
    </xf>
    <xf numFmtId="0" fontId="10" fillId="12" borderId="1" xfId="0" applyFont="1" applyFill="1" applyBorder="1" applyAlignment="1">
      <alignment horizontal="center" vertical="center" wrapText="1"/>
    </xf>
    <xf numFmtId="0" fontId="9" fillId="11" borderId="3" xfId="0" applyFont="1" applyFill="1" applyBorder="1" applyAlignment="1">
      <alignment horizontal="center" vertical="center"/>
    </xf>
    <xf numFmtId="0" fontId="3" fillId="11" borderId="3" xfId="0" applyFont="1" applyFill="1" applyBorder="1" applyAlignment="1">
      <alignment horizontal="center" vertical="center"/>
    </xf>
    <xf numFmtId="0" fontId="21" fillId="11" borderId="3" xfId="0" applyFont="1" applyFill="1" applyBorder="1" applyAlignment="1">
      <alignment horizontal="center" vertical="center" wrapText="1"/>
    </xf>
    <xf numFmtId="0" fontId="3" fillId="11" borderId="4" xfId="0" applyFont="1" applyFill="1" applyBorder="1" applyAlignment="1">
      <alignment horizontal="center" vertical="center"/>
    </xf>
    <xf numFmtId="0" fontId="22" fillId="11" borderId="4" xfId="0" applyFont="1" applyFill="1" applyBorder="1" applyAlignment="1">
      <alignment horizontal="center" vertical="center" wrapText="1"/>
    </xf>
    <xf numFmtId="0" fontId="9" fillId="9" borderId="3" xfId="0" applyFont="1" applyFill="1" applyBorder="1" applyAlignment="1">
      <alignment horizontal="center" vertical="center"/>
    </xf>
    <xf numFmtId="0" fontId="10" fillId="9" borderId="3" xfId="0" applyFont="1" applyFill="1" applyBorder="1" applyAlignment="1">
      <alignment horizontal="center" vertical="center"/>
    </xf>
    <xf numFmtId="0" fontId="22" fillId="9" borderId="1" xfId="0" applyFont="1" applyFill="1" applyBorder="1" applyAlignment="1">
      <alignment horizontal="center" vertical="center" wrapText="1"/>
    </xf>
    <xf numFmtId="0" fontId="23" fillId="9" borderId="3" xfId="0" applyFont="1" applyFill="1" applyBorder="1" applyAlignment="1">
      <alignment horizontal="center" vertical="center"/>
    </xf>
    <xf numFmtId="0" fontId="10" fillId="9" borderId="4" xfId="0" applyFont="1" applyFill="1" applyBorder="1" applyAlignment="1">
      <alignment horizontal="center" vertical="center"/>
    </xf>
    <xf numFmtId="0" fontId="23" fillId="9" borderId="4" xfId="0" applyFont="1" applyFill="1" applyBorder="1" applyAlignment="1">
      <alignment horizontal="center" vertical="center"/>
    </xf>
    <xf numFmtId="0" fontId="3" fillId="23" borderId="1" xfId="0" applyNumberFormat="1" applyFont="1" applyFill="1" applyBorder="1" applyAlignment="1">
      <alignment horizontal="center" vertical="center"/>
    </xf>
    <xf numFmtId="0" fontId="10" fillId="9" borderId="5" xfId="0" applyFont="1" applyFill="1" applyBorder="1" applyAlignment="1">
      <alignment horizontal="center" vertical="center"/>
    </xf>
    <xf numFmtId="0" fontId="23" fillId="9" borderId="5" xfId="0"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_C206_CAN_V1.0_201201022" xfId="50"/>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409"/>
  <sheetViews>
    <sheetView zoomScale="70" zoomScaleNormal="70" workbookViewId="0">
      <pane ySplit="1" topLeftCell="A2289" activePane="bottomLeft" state="frozen"/>
      <selection/>
      <selection pane="bottomLeft" activeCell="F2165" sqref="F2165:F2168"/>
    </sheetView>
  </sheetViews>
  <sheetFormatPr defaultColWidth="9" defaultRowHeight="14.4"/>
  <cols>
    <col min="1" max="1" width="26.1481481481481" style="217" customWidth="1"/>
    <col min="2" max="2" width="28.8796296296296" style="217" customWidth="1"/>
    <col min="3" max="3" width="31.5" style="218" customWidth="1"/>
    <col min="4" max="5" width="11.8796296296296" style="219" customWidth="1"/>
    <col min="6" max="6" width="18.3333333333333" style="219" customWidth="1"/>
    <col min="7" max="7" width="37.9074074074074" style="219" customWidth="1"/>
    <col min="8" max="8" width="21.4444444444444" style="219" customWidth="1"/>
    <col min="9" max="11" width="11.75" style="220" customWidth="1"/>
    <col min="12" max="12" width="24.0092592592593" style="213" customWidth="1"/>
    <col min="13" max="13" width="11.8796296296296" style="219" customWidth="1"/>
    <col min="14" max="14" width="15.4166666666667" style="213" customWidth="1"/>
    <col min="15" max="16384" width="9" style="213"/>
  </cols>
  <sheetData>
    <row r="1" s="29" customFormat="1" ht="28.8" spans="1:13">
      <c r="A1" s="34" t="s">
        <v>0</v>
      </c>
      <c r="B1" s="34" t="s">
        <v>1</v>
      </c>
      <c r="C1" s="34" t="s">
        <v>2</v>
      </c>
      <c r="D1" s="34" t="s">
        <v>3</v>
      </c>
      <c r="E1" s="35" t="s">
        <v>4</v>
      </c>
      <c r="F1" s="34" t="s">
        <v>5</v>
      </c>
      <c r="G1" s="34" t="s">
        <v>6</v>
      </c>
      <c r="H1" s="34" t="s">
        <v>7</v>
      </c>
      <c r="I1" s="36" t="s">
        <v>8</v>
      </c>
      <c r="J1" s="37" t="s">
        <v>9</v>
      </c>
      <c r="K1" s="36" t="s">
        <v>10</v>
      </c>
      <c r="L1" s="37" t="s">
        <v>11</v>
      </c>
      <c r="M1" s="35" t="s">
        <v>12</v>
      </c>
    </row>
    <row r="2" s="211" customFormat="1" ht="19" customHeight="1" spans="1:13">
      <c r="A2" s="221" t="s">
        <v>13</v>
      </c>
      <c r="B2" s="221" t="s">
        <v>14</v>
      </c>
      <c r="C2" s="221" t="s">
        <v>15</v>
      </c>
      <c r="D2" s="221" t="s">
        <v>16</v>
      </c>
      <c r="E2" s="221">
        <v>7001</v>
      </c>
      <c r="F2" s="221" t="s">
        <v>17</v>
      </c>
      <c r="G2" s="164" t="s">
        <v>18</v>
      </c>
      <c r="H2" s="222">
        <v>0</v>
      </c>
      <c r="I2" s="223">
        <v>4</v>
      </c>
      <c r="J2" s="221" t="s">
        <v>19</v>
      </c>
      <c r="K2" s="221">
        <v>20</v>
      </c>
      <c r="L2" s="224"/>
      <c r="M2" s="221">
        <v>1301102</v>
      </c>
    </row>
    <row r="3" s="211" customFormat="1" spans="1:13">
      <c r="A3" s="225"/>
      <c r="B3" s="225"/>
      <c r="C3" s="225"/>
      <c r="D3" s="225"/>
      <c r="E3" s="225"/>
      <c r="F3" s="225"/>
      <c r="G3" s="164" t="s">
        <v>20</v>
      </c>
      <c r="H3" s="222">
        <v>4</v>
      </c>
      <c r="I3" s="223">
        <v>4</v>
      </c>
      <c r="J3" s="225"/>
      <c r="K3" s="225"/>
      <c r="L3" s="224"/>
      <c r="M3" s="225"/>
    </row>
    <row r="4" s="211" customFormat="1" ht="13.8" spans="1:13">
      <c r="A4" s="225"/>
      <c r="B4" s="225"/>
      <c r="C4" s="225"/>
      <c r="D4" s="225"/>
      <c r="E4" s="225"/>
      <c r="F4" s="225"/>
      <c r="G4" s="164" t="s">
        <v>21</v>
      </c>
      <c r="H4" s="222">
        <v>8</v>
      </c>
      <c r="I4" s="223">
        <v>4</v>
      </c>
      <c r="J4" s="225"/>
      <c r="K4" s="225"/>
      <c r="L4" s="224"/>
      <c r="M4" s="225"/>
    </row>
    <row r="5" s="211" customFormat="1" ht="13.8" spans="1:13">
      <c r="A5" s="225"/>
      <c r="B5" s="225"/>
      <c r="C5" s="225"/>
      <c r="D5" s="225"/>
      <c r="E5" s="225"/>
      <c r="F5" s="225"/>
      <c r="G5" s="164" t="s">
        <v>22</v>
      </c>
      <c r="H5" s="222">
        <v>12</v>
      </c>
      <c r="I5" s="223">
        <v>4</v>
      </c>
      <c r="J5" s="225"/>
      <c r="K5" s="225"/>
      <c r="L5" s="224"/>
      <c r="M5" s="225"/>
    </row>
    <row r="6" s="211" customFormat="1" ht="13.8" spans="1:13">
      <c r="A6" s="225"/>
      <c r="B6" s="225"/>
      <c r="C6" s="225"/>
      <c r="D6" s="225"/>
      <c r="E6" s="225"/>
      <c r="F6" s="225"/>
      <c r="G6" s="164" t="s">
        <v>23</v>
      </c>
      <c r="H6" s="222">
        <v>16</v>
      </c>
      <c r="I6" s="223">
        <v>4</v>
      </c>
      <c r="J6" s="225"/>
      <c r="K6" s="225"/>
      <c r="L6" s="224"/>
      <c r="M6" s="225"/>
    </row>
    <row r="7" s="211" customFormat="1" ht="13.8" spans="1:13">
      <c r="A7" s="225"/>
      <c r="B7" s="225"/>
      <c r="C7" s="225"/>
      <c r="D7" s="225"/>
      <c r="E7" s="225"/>
      <c r="F7" s="225"/>
      <c r="G7" s="164" t="s">
        <v>24</v>
      </c>
      <c r="H7" s="222">
        <v>20</v>
      </c>
      <c r="I7" s="223">
        <v>4</v>
      </c>
      <c r="J7" s="225"/>
      <c r="K7" s="225"/>
      <c r="L7" s="224"/>
      <c r="M7" s="225"/>
    </row>
    <row r="8" s="211" customFormat="1" spans="1:13">
      <c r="A8" s="225"/>
      <c r="B8" s="225"/>
      <c r="C8" s="225"/>
      <c r="D8" s="225"/>
      <c r="E8" s="225"/>
      <c r="F8" s="225"/>
      <c r="G8" s="164" t="s">
        <v>20</v>
      </c>
      <c r="H8" s="222">
        <v>24</v>
      </c>
      <c r="I8" s="223">
        <v>4</v>
      </c>
      <c r="J8" s="225"/>
      <c r="K8" s="225"/>
      <c r="L8" s="224"/>
      <c r="M8" s="225"/>
    </row>
    <row r="9" s="211" customFormat="1" ht="13.8" spans="1:13">
      <c r="A9" s="225"/>
      <c r="B9" s="225"/>
      <c r="C9" s="225"/>
      <c r="D9" s="225"/>
      <c r="E9" s="225"/>
      <c r="F9" s="225"/>
      <c r="G9" s="164" t="s">
        <v>25</v>
      </c>
      <c r="H9" s="222">
        <v>28</v>
      </c>
      <c r="I9" s="223">
        <v>4</v>
      </c>
      <c r="J9" s="225"/>
      <c r="K9" s="225"/>
      <c r="L9" s="224"/>
      <c r="M9" s="225"/>
    </row>
    <row r="10" s="211" customFormat="1" ht="13.8" spans="1:13">
      <c r="A10" s="225"/>
      <c r="B10" s="225"/>
      <c r="C10" s="225"/>
      <c r="D10" s="225"/>
      <c r="E10" s="225"/>
      <c r="F10" s="225"/>
      <c r="G10" s="164" t="s">
        <v>26</v>
      </c>
      <c r="H10" s="222">
        <v>32</v>
      </c>
      <c r="I10" s="223">
        <v>4</v>
      </c>
      <c r="J10" s="225"/>
      <c r="K10" s="225"/>
      <c r="L10" s="224"/>
      <c r="M10" s="225"/>
    </row>
    <row r="11" s="211" customFormat="1" ht="13.8" spans="1:13">
      <c r="A11" s="225"/>
      <c r="B11" s="225"/>
      <c r="C11" s="225"/>
      <c r="D11" s="225"/>
      <c r="E11" s="225"/>
      <c r="F11" s="225"/>
      <c r="G11" s="164" t="s">
        <v>27</v>
      </c>
      <c r="H11" s="222">
        <v>36</v>
      </c>
      <c r="I11" s="223">
        <v>4</v>
      </c>
      <c r="J11" s="225"/>
      <c r="K11" s="225"/>
      <c r="L11" s="224"/>
      <c r="M11" s="225"/>
    </row>
    <row r="12" s="211" customFormat="1" ht="13.8" spans="1:13">
      <c r="A12" s="225"/>
      <c r="B12" s="225"/>
      <c r="C12" s="225"/>
      <c r="D12" s="225"/>
      <c r="E12" s="225"/>
      <c r="F12" s="225"/>
      <c r="G12" s="164" t="s">
        <v>28</v>
      </c>
      <c r="H12" s="222">
        <v>40</v>
      </c>
      <c r="I12" s="223">
        <v>4</v>
      </c>
      <c r="J12" s="225"/>
      <c r="K12" s="225"/>
      <c r="L12" s="224"/>
      <c r="M12" s="225"/>
    </row>
    <row r="13" s="211" customFormat="1" spans="1:13">
      <c r="A13" s="225"/>
      <c r="B13" s="225"/>
      <c r="C13" s="225"/>
      <c r="D13" s="225"/>
      <c r="E13" s="225"/>
      <c r="F13" s="225"/>
      <c r="G13" s="164" t="s">
        <v>20</v>
      </c>
      <c r="H13" s="222">
        <v>44</v>
      </c>
      <c r="I13" s="223">
        <v>4</v>
      </c>
      <c r="J13" s="225"/>
      <c r="K13" s="225"/>
      <c r="L13" s="224"/>
      <c r="M13" s="225"/>
    </row>
    <row r="14" s="211" customFormat="1" ht="13.8" spans="1:13">
      <c r="A14" s="225"/>
      <c r="B14" s="225"/>
      <c r="C14" s="225"/>
      <c r="D14" s="225"/>
      <c r="E14" s="225"/>
      <c r="F14" s="225"/>
      <c r="G14" s="164" t="s">
        <v>29</v>
      </c>
      <c r="H14" s="222">
        <v>48</v>
      </c>
      <c r="I14" s="223">
        <v>4</v>
      </c>
      <c r="J14" s="225"/>
      <c r="K14" s="225"/>
      <c r="L14" s="224"/>
      <c r="M14" s="225"/>
    </row>
    <row r="15" s="211" customFormat="1" ht="13.8" spans="1:13">
      <c r="A15" s="225"/>
      <c r="B15" s="225"/>
      <c r="C15" s="225"/>
      <c r="D15" s="225"/>
      <c r="E15" s="225"/>
      <c r="F15" s="225"/>
      <c r="G15" s="164" t="s">
        <v>30</v>
      </c>
      <c r="H15" s="222">
        <v>52</v>
      </c>
      <c r="I15" s="223">
        <v>4</v>
      </c>
      <c r="J15" s="225"/>
      <c r="K15" s="225"/>
      <c r="L15" s="224"/>
      <c r="M15" s="225"/>
    </row>
    <row r="16" s="211" customFormat="1" ht="13.8" spans="1:13">
      <c r="A16" s="225"/>
      <c r="B16" s="225"/>
      <c r="C16" s="225"/>
      <c r="D16" s="225"/>
      <c r="E16" s="225"/>
      <c r="F16" s="225"/>
      <c r="G16" s="164" t="s">
        <v>31</v>
      </c>
      <c r="H16" s="222">
        <v>56</v>
      </c>
      <c r="I16" s="223">
        <v>4</v>
      </c>
      <c r="J16" s="225"/>
      <c r="K16" s="225"/>
      <c r="L16" s="224"/>
      <c r="M16" s="225"/>
    </row>
    <row r="17" s="211" customFormat="1" ht="13.8" spans="1:13">
      <c r="A17" s="225"/>
      <c r="B17" s="225"/>
      <c r="C17" s="225"/>
      <c r="D17" s="225"/>
      <c r="E17" s="225"/>
      <c r="F17" s="225"/>
      <c r="G17" s="164" t="s">
        <v>32</v>
      </c>
      <c r="H17" s="222">
        <v>60</v>
      </c>
      <c r="I17" s="223">
        <v>4</v>
      </c>
      <c r="J17" s="225"/>
      <c r="K17" s="225"/>
      <c r="L17" s="224"/>
      <c r="M17" s="225"/>
    </row>
    <row r="18" s="211" customFormat="1" spans="1:13">
      <c r="A18" s="225"/>
      <c r="B18" s="225"/>
      <c r="C18" s="225"/>
      <c r="D18" s="225"/>
      <c r="E18" s="225"/>
      <c r="F18" s="225"/>
      <c r="G18" s="164" t="s">
        <v>20</v>
      </c>
      <c r="H18" s="222">
        <v>64</v>
      </c>
      <c r="I18" s="223">
        <v>4</v>
      </c>
      <c r="J18" s="225"/>
      <c r="K18" s="225"/>
      <c r="L18" s="224"/>
      <c r="M18" s="225"/>
    </row>
    <row r="19" s="211" customFormat="1" ht="13.8" spans="1:13">
      <c r="A19" s="225"/>
      <c r="B19" s="225"/>
      <c r="C19" s="225"/>
      <c r="D19" s="225"/>
      <c r="E19" s="225"/>
      <c r="F19" s="225"/>
      <c r="G19" s="164" t="s">
        <v>33</v>
      </c>
      <c r="H19" s="222">
        <v>68</v>
      </c>
      <c r="I19" s="223">
        <v>4</v>
      </c>
      <c r="J19" s="225"/>
      <c r="K19" s="225"/>
      <c r="L19" s="224"/>
      <c r="M19" s="225"/>
    </row>
    <row r="20" s="211" customFormat="1" ht="13.8" spans="1:13">
      <c r="A20" s="225"/>
      <c r="B20" s="225"/>
      <c r="C20" s="225"/>
      <c r="D20" s="225"/>
      <c r="E20" s="225"/>
      <c r="F20" s="225"/>
      <c r="G20" s="164" t="s">
        <v>34</v>
      </c>
      <c r="H20" s="222">
        <v>72</v>
      </c>
      <c r="I20" s="223">
        <v>4</v>
      </c>
      <c r="J20" s="225"/>
      <c r="K20" s="225"/>
      <c r="L20" s="224"/>
      <c r="M20" s="225"/>
    </row>
    <row r="21" s="211" customFormat="1" ht="13.8" spans="1:13">
      <c r="A21" s="225"/>
      <c r="B21" s="225"/>
      <c r="C21" s="225"/>
      <c r="D21" s="225"/>
      <c r="E21" s="225"/>
      <c r="F21" s="225"/>
      <c r="G21" s="164" t="s">
        <v>35</v>
      </c>
      <c r="H21" s="222">
        <v>76</v>
      </c>
      <c r="I21" s="223">
        <v>4</v>
      </c>
      <c r="J21" s="225"/>
      <c r="K21" s="225"/>
      <c r="L21" s="224" t="s">
        <v>36</v>
      </c>
      <c r="M21" s="225"/>
    </row>
    <row r="22" s="211" customFormat="1" ht="13.8" spans="1:13">
      <c r="A22" s="225"/>
      <c r="B22" s="225"/>
      <c r="C22" s="225"/>
      <c r="D22" s="225"/>
      <c r="E22" s="225"/>
      <c r="F22" s="225"/>
      <c r="G22" s="164" t="s">
        <v>37</v>
      </c>
      <c r="H22" s="222">
        <v>80</v>
      </c>
      <c r="I22" s="223">
        <v>4</v>
      </c>
      <c r="J22" s="225"/>
      <c r="K22" s="225"/>
      <c r="L22" s="224"/>
      <c r="M22" s="225"/>
    </row>
    <row r="23" s="211" customFormat="1" spans="1:13">
      <c r="A23" s="225"/>
      <c r="B23" s="225"/>
      <c r="C23" s="225"/>
      <c r="D23" s="225"/>
      <c r="E23" s="225"/>
      <c r="F23" s="225"/>
      <c r="G23" s="164" t="s">
        <v>20</v>
      </c>
      <c r="H23" s="222">
        <v>84</v>
      </c>
      <c r="I23" s="223">
        <v>4</v>
      </c>
      <c r="J23" s="225"/>
      <c r="K23" s="225"/>
      <c r="L23" s="224"/>
      <c r="M23" s="225"/>
    </row>
    <row r="24" s="211" customFormat="1" ht="13.8" spans="1:13">
      <c r="A24" s="225"/>
      <c r="B24" s="225"/>
      <c r="C24" s="225"/>
      <c r="D24" s="225"/>
      <c r="E24" s="225"/>
      <c r="F24" s="225"/>
      <c r="G24" s="164" t="s">
        <v>38</v>
      </c>
      <c r="H24" s="222">
        <v>88</v>
      </c>
      <c r="I24" s="223">
        <v>4</v>
      </c>
      <c r="J24" s="225"/>
      <c r="K24" s="225"/>
      <c r="L24" s="224"/>
      <c r="M24" s="225"/>
    </row>
    <row r="25" s="211" customFormat="1" ht="13.8" spans="1:13">
      <c r="A25" s="225"/>
      <c r="B25" s="225"/>
      <c r="C25" s="225"/>
      <c r="D25" s="225"/>
      <c r="E25" s="225"/>
      <c r="F25" s="225"/>
      <c r="G25" s="164" t="s">
        <v>39</v>
      </c>
      <c r="H25" s="222">
        <v>92</v>
      </c>
      <c r="I25" s="223">
        <v>4</v>
      </c>
      <c r="J25" s="225"/>
      <c r="K25" s="225"/>
      <c r="L25" s="224"/>
      <c r="M25" s="225"/>
    </row>
    <row r="26" s="211" customFormat="1" ht="13.8" spans="1:13">
      <c r="A26" s="225"/>
      <c r="B26" s="225"/>
      <c r="C26" s="225"/>
      <c r="D26" s="225"/>
      <c r="E26" s="225"/>
      <c r="F26" s="225"/>
      <c r="G26" s="164" t="s">
        <v>40</v>
      </c>
      <c r="H26" s="222">
        <v>96</v>
      </c>
      <c r="I26" s="223">
        <v>4</v>
      </c>
      <c r="J26" s="225"/>
      <c r="K26" s="225"/>
      <c r="L26" s="224"/>
      <c r="M26" s="225"/>
    </row>
    <row r="27" s="211" customFormat="1" ht="13.8" spans="1:13">
      <c r="A27" s="225"/>
      <c r="B27" s="225"/>
      <c r="C27" s="225"/>
      <c r="D27" s="225"/>
      <c r="E27" s="225"/>
      <c r="F27" s="225"/>
      <c r="G27" s="164" t="s">
        <v>41</v>
      </c>
      <c r="H27" s="222">
        <v>100</v>
      </c>
      <c r="I27" s="223">
        <v>4</v>
      </c>
      <c r="J27" s="225"/>
      <c r="K27" s="225"/>
      <c r="L27" s="224"/>
      <c r="M27" s="225"/>
    </row>
    <row r="28" s="211" customFormat="1" spans="1:13">
      <c r="A28" s="225"/>
      <c r="B28" s="225"/>
      <c r="C28" s="225"/>
      <c r="D28" s="225"/>
      <c r="E28" s="225"/>
      <c r="F28" s="225"/>
      <c r="G28" s="164" t="s">
        <v>20</v>
      </c>
      <c r="H28" s="222">
        <v>104</v>
      </c>
      <c r="I28" s="223">
        <v>4</v>
      </c>
      <c r="J28" s="225"/>
      <c r="K28" s="225"/>
      <c r="L28" s="224"/>
      <c r="M28" s="225"/>
    </row>
    <row r="29" s="211" customFormat="1" ht="13.8" spans="1:13">
      <c r="A29" s="225"/>
      <c r="B29" s="225"/>
      <c r="C29" s="225"/>
      <c r="D29" s="225"/>
      <c r="E29" s="225"/>
      <c r="F29" s="225"/>
      <c r="G29" s="164" t="s">
        <v>42</v>
      </c>
      <c r="H29" s="222">
        <v>108</v>
      </c>
      <c r="I29" s="223">
        <v>4</v>
      </c>
      <c r="J29" s="225"/>
      <c r="K29" s="225"/>
      <c r="L29" s="224"/>
      <c r="M29" s="225"/>
    </row>
    <row r="30" s="211" customFormat="1" ht="13.8" spans="1:13">
      <c r="A30" s="225"/>
      <c r="B30" s="225"/>
      <c r="C30" s="225"/>
      <c r="D30" s="225"/>
      <c r="E30" s="225"/>
      <c r="F30" s="225"/>
      <c r="G30" s="164" t="s">
        <v>43</v>
      </c>
      <c r="H30" s="222">
        <v>112</v>
      </c>
      <c r="I30" s="223">
        <v>4</v>
      </c>
      <c r="J30" s="225"/>
      <c r="K30" s="225"/>
      <c r="L30" s="224"/>
      <c r="M30" s="225"/>
    </row>
    <row r="31" s="211" customFormat="1" ht="13.8" spans="1:13">
      <c r="A31" s="225"/>
      <c r="B31" s="225"/>
      <c r="C31" s="225"/>
      <c r="D31" s="225"/>
      <c r="E31" s="225"/>
      <c r="F31" s="225"/>
      <c r="G31" s="164" t="s">
        <v>44</v>
      </c>
      <c r="H31" s="222">
        <v>116</v>
      </c>
      <c r="I31" s="223">
        <v>4</v>
      </c>
      <c r="J31" s="225"/>
      <c r="K31" s="225"/>
      <c r="L31" s="224"/>
      <c r="M31" s="225"/>
    </row>
    <row r="32" s="211" customFormat="1" ht="13.8" spans="1:13">
      <c r="A32" s="225"/>
      <c r="B32" s="225"/>
      <c r="C32" s="225"/>
      <c r="D32" s="225"/>
      <c r="E32" s="225"/>
      <c r="F32" s="225"/>
      <c r="G32" s="164" t="s">
        <v>45</v>
      </c>
      <c r="H32" s="222">
        <v>120</v>
      </c>
      <c r="I32" s="223">
        <v>4</v>
      </c>
      <c r="J32" s="225"/>
      <c r="K32" s="225"/>
      <c r="L32" s="224"/>
      <c r="M32" s="225"/>
    </row>
    <row r="33" s="211" customFormat="1" spans="1:13">
      <c r="A33" s="225"/>
      <c r="B33" s="225"/>
      <c r="C33" s="225"/>
      <c r="D33" s="225"/>
      <c r="E33" s="225"/>
      <c r="F33" s="225"/>
      <c r="G33" s="164" t="s">
        <v>20</v>
      </c>
      <c r="H33" s="222">
        <v>124</v>
      </c>
      <c r="I33" s="223">
        <v>4</v>
      </c>
      <c r="J33" s="225"/>
      <c r="K33" s="225"/>
      <c r="L33" s="224"/>
      <c r="M33" s="225"/>
    </row>
    <row r="34" s="211" customFormat="1" ht="13.8" spans="1:13">
      <c r="A34" s="225"/>
      <c r="B34" s="225"/>
      <c r="C34" s="225"/>
      <c r="D34" s="225"/>
      <c r="E34" s="225"/>
      <c r="F34" s="225"/>
      <c r="G34" s="164" t="s">
        <v>46</v>
      </c>
      <c r="H34" s="222">
        <v>128</v>
      </c>
      <c r="I34" s="223">
        <v>4</v>
      </c>
      <c r="J34" s="225"/>
      <c r="K34" s="225"/>
      <c r="L34" s="224"/>
      <c r="M34" s="225"/>
    </row>
    <row r="35" s="211" customFormat="1" ht="13.8" spans="1:13">
      <c r="A35" s="225"/>
      <c r="B35" s="225"/>
      <c r="C35" s="225"/>
      <c r="D35" s="225"/>
      <c r="E35" s="225"/>
      <c r="F35" s="225"/>
      <c r="G35" s="164" t="s">
        <v>47</v>
      </c>
      <c r="H35" s="222">
        <v>132</v>
      </c>
      <c r="I35" s="223">
        <v>4</v>
      </c>
      <c r="J35" s="225"/>
      <c r="K35" s="225"/>
      <c r="L35" s="224"/>
      <c r="M35" s="225"/>
    </row>
    <row r="36" s="211" customFormat="1" ht="13.8" spans="1:13">
      <c r="A36" s="225"/>
      <c r="B36" s="225"/>
      <c r="C36" s="225"/>
      <c r="D36" s="225"/>
      <c r="E36" s="225"/>
      <c r="F36" s="225"/>
      <c r="G36" s="164" t="s">
        <v>48</v>
      </c>
      <c r="H36" s="222">
        <v>136</v>
      </c>
      <c r="I36" s="223">
        <v>4</v>
      </c>
      <c r="J36" s="225"/>
      <c r="K36" s="225"/>
      <c r="L36" s="224"/>
      <c r="M36" s="225"/>
    </row>
    <row r="37" s="211" customFormat="1" ht="13.8" spans="1:13">
      <c r="A37" s="225"/>
      <c r="B37" s="225"/>
      <c r="C37" s="225"/>
      <c r="D37" s="225"/>
      <c r="E37" s="225"/>
      <c r="F37" s="225"/>
      <c r="G37" s="164" t="s">
        <v>49</v>
      </c>
      <c r="H37" s="222">
        <v>140</v>
      </c>
      <c r="I37" s="223">
        <v>4</v>
      </c>
      <c r="J37" s="225"/>
      <c r="K37" s="225"/>
      <c r="L37" s="224"/>
      <c r="M37" s="225"/>
    </row>
    <row r="38" s="211" customFormat="1" spans="1:13">
      <c r="A38" s="225"/>
      <c r="B38" s="225"/>
      <c r="C38" s="225"/>
      <c r="D38" s="225"/>
      <c r="E38" s="225"/>
      <c r="F38" s="225"/>
      <c r="G38" s="164" t="s">
        <v>20</v>
      </c>
      <c r="H38" s="222">
        <v>144</v>
      </c>
      <c r="I38" s="223">
        <v>4</v>
      </c>
      <c r="J38" s="225"/>
      <c r="K38" s="225"/>
      <c r="L38" s="224"/>
      <c r="M38" s="225"/>
    </row>
    <row r="39" s="211" customFormat="1" ht="13.8" spans="1:13">
      <c r="A39" s="225"/>
      <c r="B39" s="225"/>
      <c r="C39" s="225"/>
      <c r="D39" s="225"/>
      <c r="E39" s="225"/>
      <c r="F39" s="225"/>
      <c r="G39" s="164" t="s">
        <v>50</v>
      </c>
      <c r="H39" s="222">
        <v>148</v>
      </c>
      <c r="I39" s="223">
        <v>4</v>
      </c>
      <c r="J39" s="225"/>
      <c r="K39" s="225"/>
      <c r="L39" s="224"/>
      <c r="M39" s="225"/>
    </row>
    <row r="40" s="211" customFormat="1" ht="13.8" spans="1:13">
      <c r="A40" s="225"/>
      <c r="B40" s="225"/>
      <c r="C40" s="225"/>
      <c r="D40" s="225"/>
      <c r="E40" s="225"/>
      <c r="F40" s="225"/>
      <c r="G40" s="164" t="s">
        <v>51</v>
      </c>
      <c r="H40" s="222">
        <v>152</v>
      </c>
      <c r="I40" s="223">
        <v>4</v>
      </c>
      <c r="J40" s="225"/>
      <c r="K40" s="225"/>
      <c r="L40" s="224"/>
      <c r="M40" s="225"/>
    </row>
    <row r="41" s="211" customFormat="1" ht="13.8" spans="1:13">
      <c r="A41" s="225"/>
      <c r="B41" s="225"/>
      <c r="C41" s="225"/>
      <c r="D41" s="225"/>
      <c r="E41" s="225"/>
      <c r="F41" s="225"/>
      <c r="G41" s="164" t="s">
        <v>52</v>
      </c>
      <c r="H41" s="222">
        <v>156</v>
      </c>
      <c r="I41" s="223">
        <v>4</v>
      </c>
      <c r="J41" s="225"/>
      <c r="K41" s="225"/>
      <c r="L41" s="224"/>
      <c r="M41" s="225"/>
    </row>
    <row r="42" s="211" customFormat="1" ht="14" customHeight="1" spans="1:13">
      <c r="A42" s="225"/>
      <c r="B42" s="225"/>
      <c r="C42" s="225"/>
      <c r="D42" s="225"/>
      <c r="E42" s="225"/>
      <c r="F42" s="225"/>
      <c r="G42" s="226" t="s">
        <v>53</v>
      </c>
      <c r="H42" s="222">
        <v>160</v>
      </c>
      <c r="I42" s="223">
        <v>4</v>
      </c>
      <c r="J42" s="225"/>
      <c r="K42" s="225"/>
      <c r="L42" s="224"/>
      <c r="M42" s="225"/>
    </row>
    <row r="43" s="211" customFormat="1" spans="1:13">
      <c r="A43" s="221" t="s">
        <v>54</v>
      </c>
      <c r="B43" s="221" t="s">
        <v>55</v>
      </c>
      <c r="C43" s="221" t="s">
        <v>15</v>
      </c>
      <c r="D43" s="221" t="s">
        <v>16</v>
      </c>
      <c r="E43" s="221">
        <v>7022</v>
      </c>
      <c r="F43" s="221" t="s">
        <v>17</v>
      </c>
      <c r="G43" s="164" t="s">
        <v>18</v>
      </c>
      <c r="H43" s="222">
        <v>0</v>
      </c>
      <c r="I43" s="223">
        <v>4</v>
      </c>
      <c r="J43" s="221" t="s">
        <v>19</v>
      </c>
      <c r="K43" s="221">
        <v>20</v>
      </c>
      <c r="L43" s="224"/>
      <c r="M43" s="221">
        <v>1301102</v>
      </c>
    </row>
    <row r="44" s="211" customFormat="1" spans="1:13">
      <c r="A44" s="225"/>
      <c r="B44" s="225"/>
      <c r="C44" s="225"/>
      <c r="D44" s="225"/>
      <c r="E44" s="225"/>
      <c r="F44" s="225"/>
      <c r="G44" s="164" t="s">
        <v>20</v>
      </c>
      <c r="H44" s="222">
        <v>4</v>
      </c>
      <c r="I44" s="223">
        <v>4</v>
      </c>
      <c r="J44" s="225"/>
      <c r="K44" s="225"/>
      <c r="L44" s="224"/>
      <c r="M44" s="225"/>
    </row>
    <row r="45" s="211" customFormat="1" ht="13.8" spans="1:13">
      <c r="A45" s="225"/>
      <c r="B45" s="225"/>
      <c r="C45" s="225"/>
      <c r="D45" s="225"/>
      <c r="E45" s="225"/>
      <c r="F45" s="225"/>
      <c r="G45" s="164" t="s">
        <v>56</v>
      </c>
      <c r="H45" s="222">
        <v>8</v>
      </c>
      <c r="I45" s="223">
        <v>4</v>
      </c>
      <c r="J45" s="225"/>
      <c r="K45" s="225"/>
      <c r="L45" s="224"/>
      <c r="M45" s="225"/>
    </row>
    <row r="46" s="211" customFormat="1" ht="13.8" spans="1:13">
      <c r="A46" s="225"/>
      <c r="B46" s="225"/>
      <c r="C46" s="225"/>
      <c r="D46" s="225"/>
      <c r="E46" s="225"/>
      <c r="F46" s="225"/>
      <c r="G46" s="164" t="s">
        <v>57</v>
      </c>
      <c r="H46" s="222">
        <v>12</v>
      </c>
      <c r="I46" s="223">
        <v>4</v>
      </c>
      <c r="J46" s="225"/>
      <c r="K46" s="225"/>
      <c r="L46" s="224"/>
      <c r="M46" s="225"/>
    </row>
    <row r="47" s="211" customFormat="1" ht="13.8" spans="1:13">
      <c r="A47" s="227"/>
      <c r="B47" s="227"/>
      <c r="C47" s="227"/>
      <c r="D47" s="227"/>
      <c r="E47" s="227"/>
      <c r="F47" s="227"/>
      <c r="G47" s="164" t="s">
        <v>58</v>
      </c>
      <c r="H47" s="222">
        <v>16</v>
      </c>
      <c r="I47" s="223">
        <v>4</v>
      </c>
      <c r="J47" s="227"/>
      <c r="K47" s="227"/>
      <c r="L47" s="224"/>
      <c r="M47" s="227"/>
    </row>
    <row r="48" s="211" customFormat="1" spans="1:13">
      <c r="A48" s="225" t="s">
        <v>59</v>
      </c>
      <c r="B48" s="225" t="s">
        <v>60</v>
      </c>
      <c r="C48" s="225" t="s">
        <v>15</v>
      </c>
      <c r="D48" s="225" t="s">
        <v>16</v>
      </c>
      <c r="E48" s="225">
        <v>7023</v>
      </c>
      <c r="F48" s="225" t="s">
        <v>17</v>
      </c>
      <c r="G48" s="164" t="s">
        <v>18</v>
      </c>
      <c r="H48" s="222">
        <v>0</v>
      </c>
      <c r="I48" s="223">
        <v>4</v>
      </c>
      <c r="J48" s="225" t="s">
        <v>19</v>
      </c>
      <c r="K48" s="225">
        <v>20</v>
      </c>
      <c r="L48" s="224"/>
      <c r="M48" s="225">
        <v>1301102</v>
      </c>
    </row>
    <row r="49" s="211" customFormat="1" spans="1:13">
      <c r="A49" s="225"/>
      <c r="B49" s="225"/>
      <c r="C49" s="225"/>
      <c r="D49" s="225"/>
      <c r="E49" s="225"/>
      <c r="F49" s="225"/>
      <c r="G49" s="164" t="s">
        <v>20</v>
      </c>
      <c r="H49" s="222">
        <v>4</v>
      </c>
      <c r="I49" s="223">
        <v>4</v>
      </c>
      <c r="J49" s="225"/>
      <c r="K49" s="225"/>
      <c r="L49" s="224"/>
      <c r="M49" s="225"/>
    </row>
    <row r="50" s="211" customFormat="1" ht="13.8" spans="1:13">
      <c r="A50" s="225"/>
      <c r="B50" s="225"/>
      <c r="C50" s="225"/>
      <c r="D50" s="225"/>
      <c r="E50" s="225"/>
      <c r="F50" s="225"/>
      <c r="G50" s="164" t="s">
        <v>61</v>
      </c>
      <c r="H50" s="222">
        <v>8</v>
      </c>
      <c r="I50" s="223">
        <v>4</v>
      </c>
      <c r="J50" s="225"/>
      <c r="K50" s="225"/>
      <c r="L50" s="224"/>
      <c r="M50" s="225"/>
    </row>
    <row r="51" s="211" customFormat="1" ht="13.8" spans="1:13">
      <c r="A51" s="225"/>
      <c r="B51" s="225"/>
      <c r="C51" s="225"/>
      <c r="D51" s="225"/>
      <c r="E51" s="225"/>
      <c r="F51" s="225"/>
      <c r="G51" s="164" t="s">
        <v>62</v>
      </c>
      <c r="H51" s="222">
        <v>12</v>
      </c>
      <c r="I51" s="223">
        <v>4</v>
      </c>
      <c r="J51" s="225"/>
      <c r="K51" s="225"/>
      <c r="L51" s="224"/>
      <c r="M51" s="225"/>
    </row>
    <row r="52" s="211" customFormat="1" ht="13.8" spans="1:13">
      <c r="A52" s="225"/>
      <c r="B52" s="225"/>
      <c r="C52" s="225"/>
      <c r="D52" s="225"/>
      <c r="E52" s="225"/>
      <c r="F52" s="225"/>
      <c r="G52" s="164" t="s">
        <v>63</v>
      </c>
      <c r="H52" s="222">
        <v>16</v>
      </c>
      <c r="I52" s="223">
        <v>4</v>
      </c>
      <c r="J52" s="225"/>
      <c r="K52" s="225"/>
      <c r="L52" s="224"/>
      <c r="M52" s="225"/>
    </row>
    <row r="53" s="211" customFormat="1" ht="13.8" spans="1:13">
      <c r="A53" s="225"/>
      <c r="B53" s="225"/>
      <c r="C53" s="225"/>
      <c r="D53" s="225"/>
      <c r="E53" s="225"/>
      <c r="F53" s="225"/>
      <c r="G53" s="164" t="s">
        <v>64</v>
      </c>
      <c r="H53" s="222">
        <v>20</v>
      </c>
      <c r="I53" s="223">
        <v>4</v>
      </c>
      <c r="J53" s="225"/>
      <c r="K53" s="225"/>
      <c r="L53" s="224"/>
      <c r="M53" s="225"/>
    </row>
    <row r="54" s="211" customFormat="1" spans="1:13">
      <c r="A54" s="225"/>
      <c r="B54" s="225"/>
      <c r="C54" s="225"/>
      <c r="D54" s="225"/>
      <c r="E54" s="225"/>
      <c r="F54" s="225"/>
      <c r="G54" s="164" t="s">
        <v>20</v>
      </c>
      <c r="H54" s="222">
        <v>24</v>
      </c>
      <c r="I54" s="223">
        <v>4</v>
      </c>
      <c r="J54" s="225"/>
      <c r="K54" s="225"/>
      <c r="L54" s="224"/>
      <c r="M54" s="225"/>
    </row>
    <row r="55" s="211" customFormat="1" ht="13.8" spans="1:13">
      <c r="A55" s="225"/>
      <c r="B55" s="225"/>
      <c r="C55" s="225"/>
      <c r="D55" s="225"/>
      <c r="E55" s="225"/>
      <c r="F55" s="225"/>
      <c r="G55" s="164" t="s">
        <v>65</v>
      </c>
      <c r="H55" s="222">
        <v>28</v>
      </c>
      <c r="I55" s="223">
        <v>4</v>
      </c>
      <c r="J55" s="225"/>
      <c r="K55" s="225"/>
      <c r="L55" s="224"/>
      <c r="M55" s="225"/>
    </row>
    <row r="56" s="211" customFormat="1" ht="13.8" spans="1:13">
      <c r="A56" s="225"/>
      <c r="B56" s="225"/>
      <c r="C56" s="225"/>
      <c r="D56" s="225"/>
      <c r="E56" s="225"/>
      <c r="F56" s="225"/>
      <c r="G56" s="164" t="s">
        <v>66</v>
      </c>
      <c r="H56" s="222">
        <v>32</v>
      </c>
      <c r="I56" s="223">
        <v>4</v>
      </c>
      <c r="J56" s="225"/>
      <c r="K56" s="225"/>
      <c r="L56" s="224"/>
      <c r="M56" s="225"/>
    </row>
    <row r="57" s="211" customFormat="1" spans="1:13">
      <c r="A57" s="221" t="s">
        <v>67</v>
      </c>
      <c r="B57" s="221" t="s">
        <v>68</v>
      </c>
      <c r="C57" s="221" t="s">
        <v>69</v>
      </c>
      <c r="D57" s="221" t="s">
        <v>16</v>
      </c>
      <c r="E57" s="221">
        <v>7002</v>
      </c>
      <c r="F57" s="221" t="s">
        <v>70</v>
      </c>
      <c r="G57" s="164" t="s">
        <v>18</v>
      </c>
      <c r="H57" s="222">
        <v>0</v>
      </c>
      <c r="I57" s="223">
        <v>4</v>
      </c>
      <c r="J57" s="221" t="s">
        <v>71</v>
      </c>
      <c r="K57" s="221">
        <v>200</v>
      </c>
      <c r="L57" s="224"/>
      <c r="M57" s="221">
        <v>1201101</v>
      </c>
    </row>
    <row r="58" s="211" customFormat="1" spans="1:13">
      <c r="A58" s="225"/>
      <c r="B58" s="225"/>
      <c r="C58" s="225"/>
      <c r="D58" s="225"/>
      <c r="E58" s="225"/>
      <c r="F58" s="225"/>
      <c r="G58" s="164" t="s">
        <v>20</v>
      </c>
      <c r="H58" s="222">
        <v>4</v>
      </c>
      <c r="I58" s="223">
        <v>4</v>
      </c>
      <c r="J58" s="225"/>
      <c r="K58" s="225"/>
      <c r="L58" s="224"/>
      <c r="M58" s="225"/>
    </row>
    <row r="59" s="211" customFormat="1" ht="13.8" spans="1:13">
      <c r="A59" s="225"/>
      <c r="B59" s="225"/>
      <c r="C59" s="225"/>
      <c r="D59" s="225"/>
      <c r="E59" s="225"/>
      <c r="F59" s="225"/>
      <c r="G59" s="164" t="s">
        <v>21</v>
      </c>
      <c r="H59" s="222">
        <v>8</v>
      </c>
      <c r="I59" s="223">
        <v>4</v>
      </c>
      <c r="J59" s="225"/>
      <c r="K59" s="225"/>
      <c r="L59" s="224"/>
      <c r="M59" s="225"/>
    </row>
    <row r="60" s="211" customFormat="1" ht="13.8" spans="1:13">
      <c r="A60" s="225"/>
      <c r="B60" s="225"/>
      <c r="C60" s="225"/>
      <c r="D60" s="225"/>
      <c r="E60" s="225"/>
      <c r="F60" s="225"/>
      <c r="G60" s="164" t="s">
        <v>22</v>
      </c>
      <c r="H60" s="222">
        <v>12</v>
      </c>
      <c r="I60" s="223">
        <v>4</v>
      </c>
      <c r="J60" s="225"/>
      <c r="K60" s="225"/>
      <c r="L60" s="224"/>
      <c r="M60" s="225"/>
    </row>
    <row r="61" s="211" customFormat="1" ht="13.8" spans="1:13">
      <c r="A61" s="225"/>
      <c r="B61" s="225"/>
      <c r="C61" s="225"/>
      <c r="D61" s="225"/>
      <c r="E61" s="225"/>
      <c r="F61" s="225"/>
      <c r="G61" s="164" t="s">
        <v>23</v>
      </c>
      <c r="H61" s="222">
        <v>16</v>
      </c>
      <c r="I61" s="223">
        <v>4</v>
      </c>
      <c r="J61" s="225"/>
      <c r="K61" s="225"/>
      <c r="L61" s="224"/>
      <c r="M61" s="225"/>
    </row>
    <row r="62" s="211" customFormat="1" ht="13.8" spans="1:13">
      <c r="A62" s="225"/>
      <c r="B62" s="225"/>
      <c r="C62" s="225"/>
      <c r="D62" s="225"/>
      <c r="E62" s="225"/>
      <c r="F62" s="225"/>
      <c r="G62" s="164" t="s">
        <v>24</v>
      </c>
      <c r="H62" s="222">
        <v>20</v>
      </c>
      <c r="I62" s="223">
        <v>4</v>
      </c>
      <c r="J62" s="225"/>
      <c r="K62" s="225"/>
      <c r="L62" s="224"/>
      <c r="M62" s="225"/>
    </row>
    <row r="63" s="211" customFormat="1" spans="1:13">
      <c r="A63" s="225"/>
      <c r="B63" s="225"/>
      <c r="C63" s="225"/>
      <c r="D63" s="225"/>
      <c r="E63" s="225"/>
      <c r="F63" s="225"/>
      <c r="G63" s="164" t="s">
        <v>20</v>
      </c>
      <c r="H63" s="222">
        <v>24</v>
      </c>
      <c r="I63" s="223">
        <v>4</v>
      </c>
      <c r="J63" s="225"/>
      <c r="K63" s="225"/>
      <c r="L63" s="224"/>
      <c r="M63" s="225"/>
    </row>
    <row r="64" s="211" customFormat="1" ht="13.8" spans="1:13">
      <c r="A64" s="225"/>
      <c r="B64" s="225"/>
      <c r="C64" s="225"/>
      <c r="D64" s="225"/>
      <c r="E64" s="225"/>
      <c r="F64" s="225"/>
      <c r="G64" s="164" t="s">
        <v>25</v>
      </c>
      <c r="H64" s="222">
        <v>28</v>
      </c>
      <c r="I64" s="223">
        <v>4</v>
      </c>
      <c r="J64" s="225"/>
      <c r="K64" s="225"/>
      <c r="L64" s="224"/>
      <c r="M64" s="225"/>
    </row>
    <row r="65" s="211" customFormat="1" ht="13.8" spans="1:13">
      <c r="A65" s="225"/>
      <c r="B65" s="225"/>
      <c r="C65" s="225"/>
      <c r="D65" s="225"/>
      <c r="E65" s="225"/>
      <c r="F65" s="225"/>
      <c r="G65" s="164" t="s">
        <v>26</v>
      </c>
      <c r="H65" s="222">
        <v>32</v>
      </c>
      <c r="I65" s="223">
        <v>4</v>
      </c>
      <c r="J65" s="225"/>
      <c r="K65" s="225"/>
      <c r="L65" s="224"/>
      <c r="M65" s="225"/>
    </row>
    <row r="66" s="211" customFormat="1" ht="13.8" spans="1:13">
      <c r="A66" s="225"/>
      <c r="B66" s="225"/>
      <c r="C66" s="225"/>
      <c r="D66" s="225"/>
      <c r="E66" s="225"/>
      <c r="F66" s="225"/>
      <c r="G66" s="164" t="s">
        <v>27</v>
      </c>
      <c r="H66" s="222">
        <v>36</v>
      </c>
      <c r="I66" s="223">
        <v>4</v>
      </c>
      <c r="J66" s="225"/>
      <c r="K66" s="225"/>
      <c r="L66" s="224"/>
      <c r="M66" s="225"/>
    </row>
    <row r="67" s="211" customFormat="1" ht="13.8" spans="1:13">
      <c r="A67" s="225"/>
      <c r="B67" s="225"/>
      <c r="C67" s="225"/>
      <c r="D67" s="225"/>
      <c r="E67" s="225"/>
      <c r="F67" s="225"/>
      <c r="G67" s="164" t="s">
        <v>28</v>
      </c>
      <c r="H67" s="222">
        <v>40</v>
      </c>
      <c r="I67" s="223">
        <v>4</v>
      </c>
      <c r="J67" s="225"/>
      <c r="K67" s="225"/>
      <c r="L67" s="224"/>
      <c r="M67" s="225"/>
    </row>
    <row r="68" s="211" customFormat="1" spans="1:13">
      <c r="A68" s="225"/>
      <c r="B68" s="225"/>
      <c r="C68" s="225"/>
      <c r="D68" s="225"/>
      <c r="E68" s="225"/>
      <c r="F68" s="225"/>
      <c r="G68" s="164" t="s">
        <v>20</v>
      </c>
      <c r="H68" s="222">
        <v>44</v>
      </c>
      <c r="I68" s="223">
        <v>4</v>
      </c>
      <c r="J68" s="225"/>
      <c r="K68" s="225"/>
      <c r="L68" s="224"/>
      <c r="M68" s="225"/>
    </row>
    <row r="69" s="211" customFormat="1" ht="13.8" spans="1:13">
      <c r="A69" s="225"/>
      <c r="B69" s="225"/>
      <c r="C69" s="225"/>
      <c r="D69" s="225"/>
      <c r="E69" s="225"/>
      <c r="F69" s="225"/>
      <c r="G69" s="164" t="s">
        <v>29</v>
      </c>
      <c r="H69" s="222">
        <v>48</v>
      </c>
      <c r="I69" s="223">
        <v>4</v>
      </c>
      <c r="J69" s="225"/>
      <c r="K69" s="225"/>
      <c r="L69" s="224"/>
      <c r="M69" s="225"/>
    </row>
    <row r="70" s="211" customFormat="1" ht="13.8" spans="1:13">
      <c r="A70" s="225"/>
      <c r="B70" s="225"/>
      <c r="C70" s="225"/>
      <c r="D70" s="225"/>
      <c r="E70" s="225"/>
      <c r="F70" s="225"/>
      <c r="G70" s="164" t="s">
        <v>30</v>
      </c>
      <c r="H70" s="222">
        <v>52</v>
      </c>
      <c r="I70" s="223">
        <v>4</v>
      </c>
      <c r="J70" s="225"/>
      <c r="K70" s="225"/>
      <c r="L70" s="224"/>
      <c r="M70" s="225"/>
    </row>
    <row r="71" s="211" customFormat="1" ht="13.8" spans="1:13">
      <c r="A71" s="225"/>
      <c r="B71" s="225"/>
      <c r="C71" s="225"/>
      <c r="D71" s="225"/>
      <c r="E71" s="225"/>
      <c r="F71" s="225"/>
      <c r="G71" s="164" t="s">
        <v>31</v>
      </c>
      <c r="H71" s="222">
        <v>56</v>
      </c>
      <c r="I71" s="223">
        <v>4</v>
      </c>
      <c r="J71" s="225"/>
      <c r="K71" s="225"/>
      <c r="L71" s="224"/>
      <c r="M71" s="225"/>
    </row>
    <row r="72" s="211" customFormat="1" ht="13.8" spans="1:13">
      <c r="A72" s="225"/>
      <c r="B72" s="225"/>
      <c r="C72" s="225"/>
      <c r="D72" s="225"/>
      <c r="E72" s="225"/>
      <c r="F72" s="225"/>
      <c r="G72" s="164" t="s">
        <v>32</v>
      </c>
      <c r="H72" s="222">
        <v>60</v>
      </c>
      <c r="I72" s="223">
        <v>4</v>
      </c>
      <c r="J72" s="225"/>
      <c r="K72" s="225"/>
      <c r="L72" s="224"/>
      <c r="M72" s="225"/>
    </row>
    <row r="73" s="211" customFormat="1" spans="1:13">
      <c r="A73" s="225"/>
      <c r="B73" s="225"/>
      <c r="C73" s="225"/>
      <c r="D73" s="225"/>
      <c r="E73" s="225"/>
      <c r="F73" s="225"/>
      <c r="G73" s="164" t="s">
        <v>20</v>
      </c>
      <c r="H73" s="222">
        <v>64</v>
      </c>
      <c r="I73" s="223">
        <v>4</v>
      </c>
      <c r="J73" s="225"/>
      <c r="K73" s="225"/>
      <c r="L73" s="224"/>
      <c r="M73" s="225"/>
    </row>
    <row r="74" s="211" customFormat="1" ht="13.8" spans="1:13">
      <c r="A74" s="225"/>
      <c r="B74" s="225"/>
      <c r="C74" s="225"/>
      <c r="D74" s="225"/>
      <c r="E74" s="225"/>
      <c r="F74" s="225"/>
      <c r="G74" s="164" t="s">
        <v>33</v>
      </c>
      <c r="H74" s="222">
        <v>68</v>
      </c>
      <c r="I74" s="223">
        <v>4</v>
      </c>
      <c r="J74" s="225"/>
      <c r="K74" s="225"/>
      <c r="L74" s="224"/>
      <c r="M74" s="225"/>
    </row>
    <row r="75" s="211" customFormat="1" ht="13.8" spans="1:13">
      <c r="A75" s="225"/>
      <c r="B75" s="225"/>
      <c r="C75" s="225"/>
      <c r="D75" s="225"/>
      <c r="E75" s="225"/>
      <c r="F75" s="225"/>
      <c r="G75" s="164" t="s">
        <v>34</v>
      </c>
      <c r="H75" s="222">
        <v>72</v>
      </c>
      <c r="I75" s="223">
        <v>4</v>
      </c>
      <c r="J75" s="225"/>
      <c r="K75" s="225"/>
      <c r="L75" s="224"/>
      <c r="M75" s="225"/>
    </row>
    <row r="76" s="211" customFormat="1" ht="13.8" spans="1:13">
      <c r="A76" s="225"/>
      <c r="B76" s="225"/>
      <c r="C76" s="225"/>
      <c r="D76" s="225"/>
      <c r="E76" s="225"/>
      <c r="F76" s="225"/>
      <c r="G76" s="164" t="s">
        <v>35</v>
      </c>
      <c r="H76" s="222">
        <v>76</v>
      </c>
      <c r="I76" s="223">
        <v>4</v>
      </c>
      <c r="J76" s="225"/>
      <c r="K76" s="225"/>
      <c r="L76" s="224"/>
      <c r="M76" s="225"/>
    </row>
    <row r="77" s="211" customFormat="1" ht="13.8" spans="1:13">
      <c r="A77" s="225"/>
      <c r="B77" s="225"/>
      <c r="C77" s="225"/>
      <c r="D77" s="225"/>
      <c r="E77" s="225"/>
      <c r="F77" s="225"/>
      <c r="G77" s="164" t="s">
        <v>37</v>
      </c>
      <c r="H77" s="222">
        <v>80</v>
      </c>
      <c r="I77" s="223">
        <v>4</v>
      </c>
      <c r="J77" s="225"/>
      <c r="K77" s="225"/>
      <c r="L77" s="224"/>
      <c r="M77" s="225"/>
    </row>
    <row r="78" s="211" customFormat="1" spans="1:13">
      <c r="A78" s="225"/>
      <c r="B78" s="225"/>
      <c r="C78" s="225"/>
      <c r="D78" s="225"/>
      <c r="E78" s="225"/>
      <c r="F78" s="225"/>
      <c r="G78" s="164" t="s">
        <v>20</v>
      </c>
      <c r="H78" s="222">
        <v>84</v>
      </c>
      <c r="I78" s="223">
        <v>4</v>
      </c>
      <c r="J78" s="225"/>
      <c r="K78" s="225"/>
      <c r="L78" s="224"/>
      <c r="M78" s="225"/>
    </row>
    <row r="79" s="211" customFormat="1" ht="13.8" spans="1:13">
      <c r="A79" s="225"/>
      <c r="B79" s="225"/>
      <c r="C79" s="225"/>
      <c r="D79" s="225"/>
      <c r="E79" s="225"/>
      <c r="F79" s="225"/>
      <c r="G79" s="164" t="s">
        <v>38</v>
      </c>
      <c r="H79" s="222">
        <v>88</v>
      </c>
      <c r="I79" s="223">
        <v>4</v>
      </c>
      <c r="J79" s="225"/>
      <c r="K79" s="225"/>
      <c r="L79" s="224"/>
      <c r="M79" s="225"/>
    </row>
    <row r="80" s="211" customFormat="1" ht="13.8" spans="1:13">
      <c r="A80" s="225"/>
      <c r="B80" s="225"/>
      <c r="C80" s="225"/>
      <c r="D80" s="225"/>
      <c r="E80" s="225"/>
      <c r="F80" s="225"/>
      <c r="G80" s="164" t="s">
        <v>39</v>
      </c>
      <c r="H80" s="222">
        <v>92</v>
      </c>
      <c r="I80" s="223">
        <v>4</v>
      </c>
      <c r="J80" s="225"/>
      <c r="K80" s="225"/>
      <c r="L80" s="224"/>
      <c r="M80" s="225"/>
    </row>
    <row r="81" s="211" customFormat="1" ht="13.8" spans="1:13">
      <c r="A81" s="225"/>
      <c r="B81" s="225"/>
      <c r="C81" s="225"/>
      <c r="D81" s="225"/>
      <c r="E81" s="225"/>
      <c r="F81" s="225"/>
      <c r="G81" s="164" t="s">
        <v>40</v>
      </c>
      <c r="H81" s="222">
        <v>96</v>
      </c>
      <c r="I81" s="223">
        <v>4</v>
      </c>
      <c r="J81" s="225"/>
      <c r="K81" s="225"/>
      <c r="L81" s="224"/>
      <c r="M81" s="225"/>
    </row>
    <row r="82" s="211" customFormat="1" ht="13.8" spans="1:13">
      <c r="A82" s="225"/>
      <c r="B82" s="225"/>
      <c r="C82" s="225"/>
      <c r="D82" s="225"/>
      <c r="E82" s="225"/>
      <c r="F82" s="225"/>
      <c r="G82" s="164" t="s">
        <v>41</v>
      </c>
      <c r="H82" s="222">
        <v>100</v>
      </c>
      <c r="I82" s="223">
        <v>4</v>
      </c>
      <c r="J82" s="225"/>
      <c r="K82" s="225"/>
      <c r="L82" s="224"/>
      <c r="M82" s="225"/>
    </row>
    <row r="83" s="211" customFormat="1" spans="1:13">
      <c r="A83" s="225"/>
      <c r="B83" s="225"/>
      <c r="C83" s="225"/>
      <c r="D83" s="225"/>
      <c r="E83" s="225"/>
      <c r="F83" s="225"/>
      <c r="G83" s="164" t="s">
        <v>20</v>
      </c>
      <c r="H83" s="222">
        <v>104</v>
      </c>
      <c r="I83" s="223">
        <v>4</v>
      </c>
      <c r="J83" s="225"/>
      <c r="K83" s="225"/>
      <c r="L83" s="224"/>
      <c r="M83" s="225"/>
    </row>
    <row r="84" s="211" customFormat="1" ht="13.8" spans="1:13">
      <c r="A84" s="225"/>
      <c r="B84" s="225"/>
      <c r="C84" s="225"/>
      <c r="D84" s="225"/>
      <c r="E84" s="225"/>
      <c r="F84" s="225"/>
      <c r="G84" s="164" t="s">
        <v>42</v>
      </c>
      <c r="H84" s="222">
        <v>108</v>
      </c>
      <c r="I84" s="223">
        <v>4</v>
      </c>
      <c r="J84" s="225"/>
      <c r="K84" s="225"/>
      <c r="L84" s="224"/>
      <c r="M84" s="225"/>
    </row>
    <row r="85" s="211" customFormat="1" ht="13.8" spans="1:13">
      <c r="A85" s="225"/>
      <c r="B85" s="225"/>
      <c r="C85" s="225"/>
      <c r="D85" s="225"/>
      <c r="E85" s="225"/>
      <c r="F85" s="225"/>
      <c r="G85" s="164" t="s">
        <v>43</v>
      </c>
      <c r="H85" s="222">
        <v>112</v>
      </c>
      <c r="I85" s="223">
        <v>4</v>
      </c>
      <c r="J85" s="225"/>
      <c r="K85" s="225"/>
      <c r="L85" s="224"/>
      <c r="M85" s="225"/>
    </row>
    <row r="86" s="211" customFormat="1" ht="13.8" spans="1:13">
      <c r="A86" s="225"/>
      <c r="B86" s="225"/>
      <c r="C86" s="225"/>
      <c r="D86" s="225"/>
      <c r="E86" s="225"/>
      <c r="F86" s="225"/>
      <c r="G86" s="164" t="s">
        <v>44</v>
      </c>
      <c r="H86" s="222">
        <v>116</v>
      </c>
      <c r="I86" s="223">
        <v>4</v>
      </c>
      <c r="J86" s="225"/>
      <c r="K86" s="225"/>
      <c r="L86" s="224"/>
      <c r="M86" s="225"/>
    </row>
    <row r="87" s="211" customFormat="1" ht="13.8" spans="1:13">
      <c r="A87" s="225"/>
      <c r="B87" s="225"/>
      <c r="C87" s="225"/>
      <c r="D87" s="225"/>
      <c r="E87" s="225"/>
      <c r="F87" s="225"/>
      <c r="G87" s="164" t="s">
        <v>45</v>
      </c>
      <c r="H87" s="222">
        <v>120</v>
      </c>
      <c r="I87" s="223">
        <v>4</v>
      </c>
      <c r="J87" s="225"/>
      <c r="K87" s="225"/>
      <c r="L87" s="224"/>
      <c r="M87" s="225"/>
    </row>
    <row r="88" s="211" customFormat="1" spans="1:13">
      <c r="A88" s="225"/>
      <c r="B88" s="225"/>
      <c r="C88" s="225"/>
      <c r="D88" s="225"/>
      <c r="E88" s="225"/>
      <c r="F88" s="225"/>
      <c r="G88" s="164" t="s">
        <v>20</v>
      </c>
      <c r="H88" s="222">
        <v>124</v>
      </c>
      <c r="I88" s="223">
        <v>4</v>
      </c>
      <c r="J88" s="225"/>
      <c r="K88" s="225"/>
      <c r="L88" s="224"/>
      <c r="M88" s="225"/>
    </row>
    <row r="89" s="211" customFormat="1" ht="13.8" spans="1:13">
      <c r="A89" s="225"/>
      <c r="B89" s="225"/>
      <c r="C89" s="225"/>
      <c r="D89" s="225"/>
      <c r="E89" s="225"/>
      <c r="F89" s="225"/>
      <c r="G89" s="164" t="s">
        <v>46</v>
      </c>
      <c r="H89" s="222">
        <v>128</v>
      </c>
      <c r="I89" s="223">
        <v>4</v>
      </c>
      <c r="J89" s="225"/>
      <c r="K89" s="225"/>
      <c r="L89" s="224"/>
      <c r="M89" s="225"/>
    </row>
    <row r="90" s="211" customFormat="1" ht="13.8" spans="1:13">
      <c r="A90" s="225"/>
      <c r="B90" s="225"/>
      <c r="C90" s="225"/>
      <c r="D90" s="225"/>
      <c r="E90" s="225"/>
      <c r="F90" s="225"/>
      <c r="G90" s="164" t="s">
        <v>47</v>
      </c>
      <c r="H90" s="222">
        <v>132</v>
      </c>
      <c r="I90" s="223">
        <v>4</v>
      </c>
      <c r="J90" s="225"/>
      <c r="K90" s="225"/>
      <c r="L90" s="224"/>
      <c r="M90" s="225"/>
    </row>
    <row r="91" s="211" customFormat="1" ht="13.8" spans="1:13">
      <c r="A91" s="225"/>
      <c r="B91" s="225"/>
      <c r="C91" s="225"/>
      <c r="D91" s="225"/>
      <c r="E91" s="225"/>
      <c r="F91" s="225"/>
      <c r="G91" s="164" t="s">
        <v>48</v>
      </c>
      <c r="H91" s="222">
        <v>136</v>
      </c>
      <c r="I91" s="223">
        <v>4</v>
      </c>
      <c r="J91" s="225"/>
      <c r="K91" s="225"/>
      <c r="L91" s="224"/>
      <c r="M91" s="225"/>
    </row>
    <row r="92" s="211" customFormat="1" ht="13.8" spans="1:13">
      <c r="A92" s="225"/>
      <c r="B92" s="225"/>
      <c r="C92" s="225"/>
      <c r="D92" s="225"/>
      <c r="E92" s="225"/>
      <c r="F92" s="225"/>
      <c r="G92" s="164" t="s">
        <v>49</v>
      </c>
      <c r="H92" s="222">
        <v>140</v>
      </c>
      <c r="I92" s="223">
        <v>4</v>
      </c>
      <c r="J92" s="225"/>
      <c r="K92" s="225"/>
      <c r="L92" s="224"/>
      <c r="M92" s="225"/>
    </row>
    <row r="93" s="211" customFormat="1" spans="1:13">
      <c r="A93" s="225"/>
      <c r="B93" s="225"/>
      <c r="C93" s="225"/>
      <c r="D93" s="225"/>
      <c r="E93" s="225"/>
      <c r="F93" s="225"/>
      <c r="G93" s="164" t="s">
        <v>20</v>
      </c>
      <c r="H93" s="222">
        <v>144</v>
      </c>
      <c r="I93" s="223">
        <v>4</v>
      </c>
      <c r="J93" s="225"/>
      <c r="K93" s="225"/>
      <c r="L93" s="224"/>
      <c r="M93" s="225"/>
    </row>
    <row r="94" s="211" customFormat="1" ht="13.8" spans="1:13">
      <c r="A94" s="225"/>
      <c r="B94" s="225"/>
      <c r="C94" s="225"/>
      <c r="D94" s="225"/>
      <c r="E94" s="225"/>
      <c r="F94" s="225"/>
      <c r="G94" s="164" t="s">
        <v>50</v>
      </c>
      <c r="H94" s="222">
        <v>148</v>
      </c>
      <c r="I94" s="223">
        <v>4</v>
      </c>
      <c r="J94" s="225"/>
      <c r="K94" s="225"/>
      <c r="L94" s="224"/>
      <c r="M94" s="225"/>
    </row>
    <row r="95" s="211" customFormat="1" ht="13.8" spans="1:13">
      <c r="A95" s="225"/>
      <c r="B95" s="225"/>
      <c r="C95" s="225"/>
      <c r="D95" s="225"/>
      <c r="E95" s="225"/>
      <c r="F95" s="225"/>
      <c r="G95" s="164" t="s">
        <v>51</v>
      </c>
      <c r="H95" s="222">
        <v>152</v>
      </c>
      <c r="I95" s="223">
        <v>4</v>
      </c>
      <c r="J95" s="225"/>
      <c r="K95" s="225"/>
      <c r="L95" s="224"/>
      <c r="M95" s="225"/>
    </row>
    <row r="96" s="211" customFormat="1" ht="13.8" spans="1:13">
      <c r="A96" s="225"/>
      <c r="B96" s="225"/>
      <c r="C96" s="225"/>
      <c r="D96" s="225"/>
      <c r="E96" s="225"/>
      <c r="F96" s="225"/>
      <c r="G96" s="164" t="s">
        <v>52</v>
      </c>
      <c r="H96" s="222">
        <v>156</v>
      </c>
      <c r="I96" s="223">
        <v>4</v>
      </c>
      <c r="J96" s="225"/>
      <c r="K96" s="225"/>
      <c r="L96" s="224"/>
      <c r="M96" s="225"/>
    </row>
    <row r="97" s="211" customFormat="1" ht="13.8" spans="1:13">
      <c r="A97" s="225"/>
      <c r="B97" s="225"/>
      <c r="C97" s="225"/>
      <c r="D97" s="225"/>
      <c r="E97" s="225"/>
      <c r="F97" s="225"/>
      <c r="G97" s="226" t="s">
        <v>53</v>
      </c>
      <c r="H97" s="222">
        <v>160</v>
      </c>
      <c r="I97" s="223">
        <v>4</v>
      </c>
      <c r="J97" s="225"/>
      <c r="K97" s="225"/>
      <c r="L97" s="224"/>
      <c r="M97" s="225"/>
    </row>
    <row r="98" s="211" customFormat="1" spans="1:13">
      <c r="A98" s="221" t="s">
        <v>54</v>
      </c>
      <c r="B98" s="221" t="s">
        <v>72</v>
      </c>
      <c r="C98" s="221" t="s">
        <v>69</v>
      </c>
      <c r="D98" s="221" t="s">
        <v>16</v>
      </c>
      <c r="E98" s="221">
        <v>7024</v>
      </c>
      <c r="F98" s="221" t="s">
        <v>17</v>
      </c>
      <c r="G98" s="164" t="s">
        <v>18</v>
      </c>
      <c r="H98" s="222">
        <v>0</v>
      </c>
      <c r="I98" s="223">
        <v>4</v>
      </c>
      <c r="J98" s="221" t="s">
        <v>71</v>
      </c>
      <c r="K98" s="221">
        <v>200</v>
      </c>
      <c r="L98" s="224"/>
      <c r="M98" s="221">
        <v>1201101</v>
      </c>
    </row>
    <row r="99" s="211" customFormat="1" spans="1:13">
      <c r="A99" s="225"/>
      <c r="B99" s="225"/>
      <c r="C99" s="225"/>
      <c r="D99" s="225"/>
      <c r="E99" s="225"/>
      <c r="F99" s="225"/>
      <c r="G99" s="164" t="s">
        <v>20</v>
      </c>
      <c r="H99" s="222">
        <v>4</v>
      </c>
      <c r="I99" s="223">
        <v>4</v>
      </c>
      <c r="J99" s="225"/>
      <c r="K99" s="225"/>
      <c r="L99" s="224"/>
      <c r="M99" s="225"/>
    </row>
    <row r="100" s="211" customFormat="1" ht="13.8" spans="1:13">
      <c r="A100" s="225"/>
      <c r="B100" s="225"/>
      <c r="C100" s="225"/>
      <c r="D100" s="225"/>
      <c r="E100" s="225"/>
      <c r="F100" s="225"/>
      <c r="G100" s="164" t="s">
        <v>56</v>
      </c>
      <c r="H100" s="222">
        <v>8</v>
      </c>
      <c r="I100" s="223">
        <v>4</v>
      </c>
      <c r="J100" s="225"/>
      <c r="K100" s="225"/>
      <c r="L100" s="224"/>
      <c r="M100" s="225"/>
    </row>
    <row r="101" s="211" customFormat="1" ht="13.8" spans="1:13">
      <c r="A101" s="225"/>
      <c r="B101" s="225"/>
      <c r="C101" s="225"/>
      <c r="D101" s="225"/>
      <c r="E101" s="225"/>
      <c r="F101" s="225"/>
      <c r="G101" s="164" t="s">
        <v>57</v>
      </c>
      <c r="H101" s="222">
        <v>12</v>
      </c>
      <c r="I101" s="223">
        <v>4</v>
      </c>
      <c r="J101" s="225"/>
      <c r="K101" s="225"/>
      <c r="L101" s="224"/>
      <c r="M101" s="225"/>
    </row>
    <row r="102" s="211" customFormat="1" ht="13.8" spans="1:13">
      <c r="A102" s="227"/>
      <c r="B102" s="227"/>
      <c r="C102" s="227"/>
      <c r="D102" s="227"/>
      <c r="E102" s="227"/>
      <c r="F102" s="227"/>
      <c r="G102" s="164" t="s">
        <v>58</v>
      </c>
      <c r="H102" s="222">
        <v>16</v>
      </c>
      <c r="I102" s="223">
        <v>4</v>
      </c>
      <c r="J102" s="227"/>
      <c r="K102" s="227"/>
      <c r="L102" s="224"/>
      <c r="M102" s="227"/>
    </row>
    <row r="103" s="211" customFormat="1" spans="1:13">
      <c r="A103" s="225" t="s">
        <v>59</v>
      </c>
      <c r="B103" s="225" t="s">
        <v>73</v>
      </c>
      <c r="C103" s="225" t="s">
        <v>69</v>
      </c>
      <c r="D103" s="225" t="s">
        <v>16</v>
      </c>
      <c r="E103" s="225">
        <v>7025</v>
      </c>
      <c r="F103" s="225" t="s">
        <v>17</v>
      </c>
      <c r="G103" s="164" t="s">
        <v>18</v>
      </c>
      <c r="H103" s="222">
        <v>0</v>
      </c>
      <c r="I103" s="223">
        <v>4</v>
      </c>
      <c r="J103" s="225" t="s">
        <v>71</v>
      </c>
      <c r="K103" s="225">
        <v>200</v>
      </c>
      <c r="L103" s="224"/>
      <c r="M103" s="225">
        <v>1201101</v>
      </c>
    </row>
    <row r="104" s="211" customFormat="1" spans="1:13">
      <c r="A104" s="225"/>
      <c r="B104" s="225"/>
      <c r="C104" s="225"/>
      <c r="D104" s="225"/>
      <c r="E104" s="225"/>
      <c r="F104" s="225"/>
      <c r="G104" s="164" t="s">
        <v>20</v>
      </c>
      <c r="H104" s="222">
        <v>4</v>
      </c>
      <c r="I104" s="223">
        <v>4</v>
      </c>
      <c r="J104" s="225"/>
      <c r="K104" s="225"/>
      <c r="L104" s="224"/>
      <c r="M104" s="225"/>
    </row>
    <row r="105" s="211" customFormat="1" ht="13.8" spans="1:13">
      <c r="A105" s="225"/>
      <c r="B105" s="225"/>
      <c r="C105" s="225"/>
      <c r="D105" s="225"/>
      <c r="E105" s="225"/>
      <c r="F105" s="225"/>
      <c r="G105" s="164" t="s">
        <v>61</v>
      </c>
      <c r="H105" s="222">
        <v>8</v>
      </c>
      <c r="I105" s="223">
        <v>4</v>
      </c>
      <c r="J105" s="225"/>
      <c r="K105" s="225"/>
      <c r="L105" s="224"/>
      <c r="M105" s="225"/>
    </row>
    <row r="106" s="211" customFormat="1" ht="13.8" spans="1:13">
      <c r="A106" s="225"/>
      <c r="B106" s="225"/>
      <c r="C106" s="225"/>
      <c r="D106" s="225"/>
      <c r="E106" s="225"/>
      <c r="F106" s="225"/>
      <c r="G106" s="164" t="s">
        <v>62</v>
      </c>
      <c r="H106" s="222">
        <v>12</v>
      </c>
      <c r="I106" s="223">
        <v>4</v>
      </c>
      <c r="J106" s="225"/>
      <c r="K106" s="225"/>
      <c r="L106" s="224"/>
      <c r="M106" s="225"/>
    </row>
    <row r="107" s="211" customFormat="1" ht="13.8" spans="1:13">
      <c r="A107" s="225"/>
      <c r="B107" s="225"/>
      <c r="C107" s="225"/>
      <c r="D107" s="225"/>
      <c r="E107" s="225"/>
      <c r="F107" s="225"/>
      <c r="G107" s="164" t="s">
        <v>63</v>
      </c>
      <c r="H107" s="222">
        <v>16</v>
      </c>
      <c r="I107" s="223">
        <v>4</v>
      </c>
      <c r="J107" s="225"/>
      <c r="K107" s="225"/>
      <c r="L107" s="224"/>
      <c r="M107" s="225"/>
    </row>
    <row r="108" s="211" customFormat="1" ht="13.8" spans="1:13">
      <c r="A108" s="225"/>
      <c r="B108" s="225"/>
      <c r="C108" s="225"/>
      <c r="D108" s="225"/>
      <c r="E108" s="225"/>
      <c r="F108" s="225"/>
      <c r="G108" s="164" t="s">
        <v>64</v>
      </c>
      <c r="H108" s="222">
        <v>20</v>
      </c>
      <c r="I108" s="223">
        <v>4</v>
      </c>
      <c r="J108" s="225"/>
      <c r="K108" s="225"/>
      <c r="L108" s="224"/>
      <c r="M108" s="225"/>
    </row>
    <row r="109" s="211" customFormat="1" spans="1:13">
      <c r="A109" s="225"/>
      <c r="B109" s="225"/>
      <c r="C109" s="225"/>
      <c r="D109" s="225"/>
      <c r="E109" s="225"/>
      <c r="F109" s="225"/>
      <c r="G109" s="164" t="s">
        <v>20</v>
      </c>
      <c r="H109" s="222">
        <v>24</v>
      </c>
      <c r="I109" s="223">
        <v>4</v>
      </c>
      <c r="J109" s="225"/>
      <c r="K109" s="225"/>
      <c r="L109" s="224"/>
      <c r="M109" s="225"/>
    </row>
    <row r="110" s="211" customFormat="1" ht="13.8" spans="1:13">
      <c r="A110" s="225"/>
      <c r="B110" s="225"/>
      <c r="C110" s="225"/>
      <c r="D110" s="225"/>
      <c r="E110" s="225"/>
      <c r="F110" s="225"/>
      <c r="G110" s="164" t="s">
        <v>65</v>
      </c>
      <c r="H110" s="222">
        <v>28</v>
      </c>
      <c r="I110" s="223">
        <v>4</v>
      </c>
      <c r="J110" s="225"/>
      <c r="K110" s="225"/>
      <c r="L110" s="224"/>
      <c r="M110" s="225"/>
    </row>
    <row r="111" s="211" customFormat="1" ht="13.8" spans="1:13">
      <c r="A111" s="225"/>
      <c r="B111" s="225"/>
      <c r="C111" s="225"/>
      <c r="D111" s="225"/>
      <c r="E111" s="225"/>
      <c r="F111" s="225"/>
      <c r="G111" s="164" t="s">
        <v>66</v>
      </c>
      <c r="H111" s="222">
        <v>32</v>
      </c>
      <c r="I111" s="223">
        <v>4</v>
      </c>
      <c r="J111" s="225"/>
      <c r="K111" s="225"/>
      <c r="L111" s="224"/>
      <c r="M111" s="225"/>
    </row>
    <row r="112" s="211" customFormat="1" spans="1:13">
      <c r="A112" s="221" t="s">
        <v>74</v>
      </c>
      <c r="B112" s="221" t="s">
        <v>75</v>
      </c>
      <c r="C112" s="221" t="s">
        <v>76</v>
      </c>
      <c r="D112" s="221" t="s">
        <v>16</v>
      </c>
      <c r="E112" s="221">
        <v>7003</v>
      </c>
      <c r="F112" s="221" t="s">
        <v>17</v>
      </c>
      <c r="G112" s="164" t="s">
        <v>18</v>
      </c>
      <c r="H112" s="222">
        <v>0</v>
      </c>
      <c r="I112" s="223">
        <v>4</v>
      </c>
      <c r="J112" s="221" t="s">
        <v>77</v>
      </c>
      <c r="K112" s="221">
        <v>200</v>
      </c>
      <c r="L112" s="224"/>
      <c r="M112" s="221">
        <v>1101101</v>
      </c>
    </row>
    <row r="113" s="211" customFormat="1" spans="1:13">
      <c r="A113" s="225"/>
      <c r="B113" s="225"/>
      <c r="C113" s="225"/>
      <c r="D113" s="225"/>
      <c r="E113" s="225"/>
      <c r="F113" s="225"/>
      <c r="G113" s="164" t="s">
        <v>20</v>
      </c>
      <c r="H113" s="222">
        <v>4</v>
      </c>
      <c r="I113" s="223">
        <v>4</v>
      </c>
      <c r="J113" s="225"/>
      <c r="K113" s="225"/>
      <c r="L113" s="224"/>
      <c r="M113" s="225"/>
    </row>
    <row r="114" s="211" customFormat="1" ht="13.8" spans="1:13">
      <c r="A114" s="225"/>
      <c r="B114" s="225"/>
      <c r="C114" s="225"/>
      <c r="D114" s="225"/>
      <c r="E114" s="225"/>
      <c r="F114" s="225"/>
      <c r="G114" s="164" t="s">
        <v>21</v>
      </c>
      <c r="H114" s="222">
        <v>8</v>
      </c>
      <c r="I114" s="223">
        <v>4</v>
      </c>
      <c r="J114" s="225"/>
      <c r="K114" s="225"/>
      <c r="L114" s="224"/>
      <c r="M114" s="225"/>
    </row>
    <row r="115" s="211" customFormat="1" ht="13.8" spans="1:13">
      <c r="A115" s="225"/>
      <c r="B115" s="225"/>
      <c r="C115" s="225"/>
      <c r="D115" s="225"/>
      <c r="E115" s="225"/>
      <c r="F115" s="225"/>
      <c r="G115" s="164" t="s">
        <v>22</v>
      </c>
      <c r="H115" s="222">
        <v>12</v>
      </c>
      <c r="I115" s="223">
        <v>4</v>
      </c>
      <c r="J115" s="225"/>
      <c r="K115" s="225"/>
      <c r="L115" s="224"/>
      <c r="M115" s="225"/>
    </row>
    <row r="116" s="211" customFormat="1" ht="13.8" spans="1:13">
      <c r="A116" s="225"/>
      <c r="B116" s="225"/>
      <c r="C116" s="225"/>
      <c r="D116" s="225"/>
      <c r="E116" s="225"/>
      <c r="F116" s="225"/>
      <c r="G116" s="164" t="s">
        <v>23</v>
      </c>
      <c r="H116" s="222">
        <v>16</v>
      </c>
      <c r="I116" s="223">
        <v>4</v>
      </c>
      <c r="J116" s="225"/>
      <c r="K116" s="225"/>
      <c r="L116" s="224"/>
      <c r="M116" s="225"/>
    </row>
    <row r="117" s="211" customFormat="1" ht="13.8" spans="1:13">
      <c r="A117" s="225"/>
      <c r="B117" s="225"/>
      <c r="C117" s="225"/>
      <c r="D117" s="225"/>
      <c r="E117" s="225"/>
      <c r="F117" s="225"/>
      <c r="G117" s="164" t="s">
        <v>24</v>
      </c>
      <c r="H117" s="222">
        <v>20</v>
      </c>
      <c r="I117" s="223">
        <v>4</v>
      </c>
      <c r="J117" s="225"/>
      <c r="K117" s="225"/>
      <c r="L117" s="224"/>
      <c r="M117" s="225"/>
    </row>
    <row r="118" s="211" customFormat="1" spans="1:13">
      <c r="A118" s="225"/>
      <c r="B118" s="225"/>
      <c r="C118" s="225"/>
      <c r="D118" s="225"/>
      <c r="E118" s="225"/>
      <c r="F118" s="225"/>
      <c r="G118" s="164" t="s">
        <v>20</v>
      </c>
      <c r="H118" s="222">
        <v>24</v>
      </c>
      <c r="I118" s="223">
        <v>4</v>
      </c>
      <c r="J118" s="225"/>
      <c r="K118" s="225"/>
      <c r="L118" s="224"/>
      <c r="M118" s="225"/>
    </row>
    <row r="119" s="211" customFormat="1" ht="13.8" spans="1:13">
      <c r="A119" s="225"/>
      <c r="B119" s="225"/>
      <c r="C119" s="225"/>
      <c r="D119" s="225"/>
      <c r="E119" s="225"/>
      <c r="F119" s="225"/>
      <c r="G119" s="164" t="s">
        <v>25</v>
      </c>
      <c r="H119" s="222">
        <v>28</v>
      </c>
      <c r="I119" s="223">
        <v>4</v>
      </c>
      <c r="J119" s="225"/>
      <c r="K119" s="225"/>
      <c r="L119" s="224"/>
      <c r="M119" s="225"/>
    </row>
    <row r="120" s="211" customFormat="1" ht="13.8" spans="1:13">
      <c r="A120" s="225"/>
      <c r="B120" s="225"/>
      <c r="C120" s="225"/>
      <c r="D120" s="225"/>
      <c r="E120" s="225"/>
      <c r="F120" s="225"/>
      <c r="G120" s="164" t="s">
        <v>26</v>
      </c>
      <c r="H120" s="222">
        <v>32</v>
      </c>
      <c r="I120" s="223">
        <v>4</v>
      </c>
      <c r="J120" s="225"/>
      <c r="K120" s="225"/>
      <c r="L120" s="224"/>
      <c r="M120" s="225"/>
    </row>
    <row r="121" s="211" customFormat="1" ht="13.8" spans="1:13">
      <c r="A121" s="225"/>
      <c r="B121" s="225"/>
      <c r="C121" s="225"/>
      <c r="D121" s="225"/>
      <c r="E121" s="225"/>
      <c r="F121" s="225"/>
      <c r="G121" s="164" t="s">
        <v>27</v>
      </c>
      <c r="H121" s="222">
        <v>36</v>
      </c>
      <c r="I121" s="223">
        <v>4</v>
      </c>
      <c r="J121" s="225"/>
      <c r="K121" s="225"/>
      <c r="L121" s="224"/>
      <c r="M121" s="225"/>
    </row>
    <row r="122" s="211" customFormat="1" ht="13.8" spans="1:13">
      <c r="A122" s="225"/>
      <c r="B122" s="225"/>
      <c r="C122" s="225"/>
      <c r="D122" s="225"/>
      <c r="E122" s="225"/>
      <c r="F122" s="225"/>
      <c r="G122" s="164" t="s">
        <v>28</v>
      </c>
      <c r="H122" s="222">
        <v>40</v>
      </c>
      <c r="I122" s="223">
        <v>4</v>
      </c>
      <c r="J122" s="225"/>
      <c r="K122" s="225"/>
      <c r="L122" s="224"/>
      <c r="M122" s="225"/>
    </row>
    <row r="123" s="211" customFormat="1" spans="1:13">
      <c r="A123" s="225"/>
      <c r="B123" s="225"/>
      <c r="C123" s="225"/>
      <c r="D123" s="225"/>
      <c r="E123" s="225"/>
      <c r="F123" s="225"/>
      <c r="G123" s="164" t="s">
        <v>20</v>
      </c>
      <c r="H123" s="222">
        <v>44</v>
      </c>
      <c r="I123" s="223">
        <v>4</v>
      </c>
      <c r="J123" s="225"/>
      <c r="K123" s="225"/>
      <c r="L123" s="224"/>
      <c r="M123" s="225"/>
    </row>
    <row r="124" s="211" customFormat="1" ht="13.8" spans="1:13">
      <c r="A124" s="225"/>
      <c r="B124" s="225"/>
      <c r="C124" s="225"/>
      <c r="D124" s="225"/>
      <c r="E124" s="225"/>
      <c r="F124" s="225"/>
      <c r="G124" s="164" t="s">
        <v>29</v>
      </c>
      <c r="H124" s="222">
        <v>48</v>
      </c>
      <c r="I124" s="223">
        <v>4</v>
      </c>
      <c r="J124" s="225"/>
      <c r="K124" s="225"/>
      <c r="L124" s="224"/>
      <c r="M124" s="225"/>
    </row>
    <row r="125" s="211" customFormat="1" ht="13.8" spans="1:13">
      <c r="A125" s="225"/>
      <c r="B125" s="225"/>
      <c r="C125" s="225"/>
      <c r="D125" s="225"/>
      <c r="E125" s="225"/>
      <c r="F125" s="225"/>
      <c r="G125" s="164" t="s">
        <v>30</v>
      </c>
      <c r="H125" s="222">
        <v>52</v>
      </c>
      <c r="I125" s="223">
        <v>4</v>
      </c>
      <c r="J125" s="225"/>
      <c r="K125" s="225"/>
      <c r="L125" s="224"/>
      <c r="M125" s="225"/>
    </row>
    <row r="126" s="211" customFormat="1" ht="13.8" spans="1:13">
      <c r="A126" s="225"/>
      <c r="B126" s="225"/>
      <c r="C126" s="225"/>
      <c r="D126" s="225"/>
      <c r="E126" s="225"/>
      <c r="F126" s="225"/>
      <c r="G126" s="164" t="s">
        <v>31</v>
      </c>
      <c r="H126" s="222">
        <v>56</v>
      </c>
      <c r="I126" s="223">
        <v>4</v>
      </c>
      <c r="J126" s="225"/>
      <c r="K126" s="225"/>
      <c r="L126" s="224"/>
      <c r="M126" s="225"/>
    </row>
    <row r="127" s="211" customFormat="1" ht="13.8" spans="1:13">
      <c r="A127" s="225"/>
      <c r="B127" s="225"/>
      <c r="C127" s="225"/>
      <c r="D127" s="225"/>
      <c r="E127" s="225"/>
      <c r="F127" s="225"/>
      <c r="G127" s="164" t="s">
        <v>32</v>
      </c>
      <c r="H127" s="222">
        <v>60</v>
      </c>
      <c r="I127" s="223">
        <v>4</v>
      </c>
      <c r="J127" s="225"/>
      <c r="K127" s="225"/>
      <c r="L127" s="224"/>
      <c r="M127" s="225"/>
    </row>
    <row r="128" s="211" customFormat="1" spans="1:13">
      <c r="A128" s="225"/>
      <c r="B128" s="225"/>
      <c r="C128" s="225"/>
      <c r="D128" s="225"/>
      <c r="E128" s="225"/>
      <c r="F128" s="225"/>
      <c r="G128" s="164" t="s">
        <v>20</v>
      </c>
      <c r="H128" s="222">
        <v>64</v>
      </c>
      <c r="I128" s="223">
        <v>4</v>
      </c>
      <c r="J128" s="225"/>
      <c r="K128" s="225"/>
      <c r="L128" s="224"/>
      <c r="M128" s="225"/>
    </row>
    <row r="129" s="211" customFormat="1" ht="13.8" spans="1:13">
      <c r="A129" s="225"/>
      <c r="B129" s="225"/>
      <c r="C129" s="225"/>
      <c r="D129" s="225"/>
      <c r="E129" s="225"/>
      <c r="F129" s="225"/>
      <c r="G129" s="164" t="s">
        <v>33</v>
      </c>
      <c r="H129" s="222">
        <v>68</v>
      </c>
      <c r="I129" s="223">
        <v>4</v>
      </c>
      <c r="J129" s="225"/>
      <c r="K129" s="225"/>
      <c r="L129" s="224"/>
      <c r="M129" s="225"/>
    </row>
    <row r="130" s="211" customFormat="1" ht="13.8" spans="1:13">
      <c r="A130" s="225"/>
      <c r="B130" s="225"/>
      <c r="C130" s="225"/>
      <c r="D130" s="225"/>
      <c r="E130" s="225"/>
      <c r="F130" s="225"/>
      <c r="G130" s="164" t="s">
        <v>34</v>
      </c>
      <c r="H130" s="222">
        <v>72</v>
      </c>
      <c r="I130" s="223">
        <v>4</v>
      </c>
      <c r="J130" s="225"/>
      <c r="K130" s="225"/>
      <c r="L130" s="224"/>
      <c r="M130" s="225"/>
    </row>
    <row r="131" s="211" customFormat="1" ht="13.8" spans="1:13">
      <c r="A131" s="225"/>
      <c r="B131" s="225"/>
      <c r="C131" s="225"/>
      <c r="D131" s="225"/>
      <c r="E131" s="225"/>
      <c r="F131" s="225"/>
      <c r="G131" s="164" t="s">
        <v>35</v>
      </c>
      <c r="H131" s="222">
        <v>76</v>
      </c>
      <c r="I131" s="223">
        <v>4</v>
      </c>
      <c r="J131" s="225"/>
      <c r="K131" s="225"/>
      <c r="L131" s="224"/>
      <c r="M131" s="225"/>
    </row>
    <row r="132" s="211" customFormat="1" ht="13.8" spans="1:13">
      <c r="A132" s="225"/>
      <c r="B132" s="225"/>
      <c r="C132" s="225"/>
      <c r="D132" s="225"/>
      <c r="E132" s="225"/>
      <c r="F132" s="225"/>
      <c r="G132" s="164" t="s">
        <v>37</v>
      </c>
      <c r="H132" s="222">
        <v>80</v>
      </c>
      <c r="I132" s="223">
        <v>4</v>
      </c>
      <c r="J132" s="225"/>
      <c r="K132" s="225"/>
      <c r="L132" s="224"/>
      <c r="M132" s="225"/>
    </row>
    <row r="133" s="211" customFormat="1" spans="1:13">
      <c r="A133" s="225"/>
      <c r="B133" s="225"/>
      <c r="C133" s="225"/>
      <c r="D133" s="225"/>
      <c r="E133" s="225"/>
      <c r="F133" s="225"/>
      <c r="G133" s="164" t="s">
        <v>20</v>
      </c>
      <c r="H133" s="222">
        <v>84</v>
      </c>
      <c r="I133" s="223">
        <v>4</v>
      </c>
      <c r="J133" s="225"/>
      <c r="K133" s="225"/>
      <c r="L133" s="224"/>
      <c r="M133" s="225"/>
    </row>
    <row r="134" s="211" customFormat="1" ht="13.8" spans="1:13">
      <c r="A134" s="225"/>
      <c r="B134" s="225"/>
      <c r="C134" s="225"/>
      <c r="D134" s="225"/>
      <c r="E134" s="225"/>
      <c r="F134" s="225"/>
      <c r="G134" s="164" t="s">
        <v>38</v>
      </c>
      <c r="H134" s="222">
        <v>88</v>
      </c>
      <c r="I134" s="223">
        <v>4</v>
      </c>
      <c r="J134" s="225"/>
      <c r="K134" s="225"/>
      <c r="L134" s="224"/>
      <c r="M134" s="225"/>
    </row>
    <row r="135" s="211" customFormat="1" ht="13.8" spans="1:13">
      <c r="A135" s="225"/>
      <c r="B135" s="225"/>
      <c r="C135" s="225"/>
      <c r="D135" s="225"/>
      <c r="E135" s="225"/>
      <c r="F135" s="225"/>
      <c r="G135" s="164" t="s">
        <v>39</v>
      </c>
      <c r="H135" s="222">
        <v>92</v>
      </c>
      <c r="I135" s="223">
        <v>4</v>
      </c>
      <c r="J135" s="225"/>
      <c r="K135" s="225"/>
      <c r="L135" s="224"/>
      <c r="M135" s="225"/>
    </row>
    <row r="136" s="211" customFormat="1" ht="13.8" spans="1:13">
      <c r="A136" s="225"/>
      <c r="B136" s="225"/>
      <c r="C136" s="225"/>
      <c r="D136" s="225"/>
      <c r="E136" s="225"/>
      <c r="F136" s="225"/>
      <c r="G136" s="164" t="s">
        <v>40</v>
      </c>
      <c r="H136" s="222">
        <v>96</v>
      </c>
      <c r="I136" s="223">
        <v>4</v>
      </c>
      <c r="J136" s="225"/>
      <c r="K136" s="225"/>
      <c r="L136" s="224"/>
      <c r="M136" s="225"/>
    </row>
    <row r="137" s="211" customFormat="1" ht="13.8" spans="1:13">
      <c r="A137" s="225"/>
      <c r="B137" s="225"/>
      <c r="C137" s="225"/>
      <c r="D137" s="225"/>
      <c r="E137" s="225"/>
      <c r="F137" s="225"/>
      <c r="G137" s="164" t="s">
        <v>41</v>
      </c>
      <c r="H137" s="222">
        <v>100</v>
      </c>
      <c r="I137" s="223">
        <v>4</v>
      </c>
      <c r="J137" s="225"/>
      <c r="K137" s="225"/>
      <c r="L137" s="224"/>
      <c r="M137" s="225"/>
    </row>
    <row r="138" s="211" customFormat="1" spans="1:13">
      <c r="A138" s="225"/>
      <c r="B138" s="225"/>
      <c r="C138" s="225"/>
      <c r="D138" s="225"/>
      <c r="E138" s="225"/>
      <c r="F138" s="225"/>
      <c r="G138" s="164" t="s">
        <v>20</v>
      </c>
      <c r="H138" s="222">
        <v>104</v>
      </c>
      <c r="I138" s="223">
        <v>4</v>
      </c>
      <c r="J138" s="225"/>
      <c r="K138" s="225"/>
      <c r="L138" s="224"/>
      <c r="M138" s="225"/>
    </row>
    <row r="139" s="211" customFormat="1" ht="13.8" spans="1:13">
      <c r="A139" s="225"/>
      <c r="B139" s="225"/>
      <c r="C139" s="225"/>
      <c r="D139" s="225"/>
      <c r="E139" s="225"/>
      <c r="F139" s="225"/>
      <c r="G139" s="164" t="s">
        <v>42</v>
      </c>
      <c r="H139" s="222">
        <v>108</v>
      </c>
      <c r="I139" s="223">
        <v>4</v>
      </c>
      <c r="J139" s="225"/>
      <c r="K139" s="225"/>
      <c r="L139" s="224"/>
      <c r="M139" s="225"/>
    </row>
    <row r="140" s="211" customFormat="1" ht="13.8" spans="1:13">
      <c r="A140" s="225"/>
      <c r="B140" s="225"/>
      <c r="C140" s="225"/>
      <c r="D140" s="225"/>
      <c r="E140" s="225"/>
      <c r="F140" s="225"/>
      <c r="G140" s="164" t="s">
        <v>43</v>
      </c>
      <c r="H140" s="222">
        <v>112</v>
      </c>
      <c r="I140" s="223">
        <v>4</v>
      </c>
      <c r="J140" s="225"/>
      <c r="K140" s="225"/>
      <c r="L140" s="224"/>
      <c r="M140" s="225"/>
    </row>
    <row r="141" s="211" customFormat="1" ht="13.8" spans="1:13">
      <c r="A141" s="225"/>
      <c r="B141" s="225"/>
      <c r="C141" s="225"/>
      <c r="D141" s="225"/>
      <c r="E141" s="225"/>
      <c r="F141" s="225"/>
      <c r="G141" s="164" t="s">
        <v>44</v>
      </c>
      <c r="H141" s="222">
        <v>116</v>
      </c>
      <c r="I141" s="223">
        <v>4</v>
      </c>
      <c r="J141" s="225"/>
      <c r="K141" s="225"/>
      <c r="L141" s="224"/>
      <c r="M141" s="225"/>
    </row>
    <row r="142" s="211" customFormat="1" ht="13.8" spans="1:13">
      <c r="A142" s="225"/>
      <c r="B142" s="225"/>
      <c r="C142" s="225"/>
      <c r="D142" s="225"/>
      <c r="E142" s="225"/>
      <c r="F142" s="225"/>
      <c r="G142" s="164" t="s">
        <v>45</v>
      </c>
      <c r="H142" s="222">
        <v>120</v>
      </c>
      <c r="I142" s="223">
        <v>4</v>
      </c>
      <c r="J142" s="225"/>
      <c r="K142" s="225"/>
      <c r="L142" s="224"/>
      <c r="M142" s="225"/>
    </row>
    <row r="143" s="211" customFormat="1" spans="1:13">
      <c r="A143" s="225"/>
      <c r="B143" s="225"/>
      <c r="C143" s="225"/>
      <c r="D143" s="225"/>
      <c r="E143" s="225"/>
      <c r="F143" s="225"/>
      <c r="G143" s="164" t="s">
        <v>20</v>
      </c>
      <c r="H143" s="222">
        <v>124</v>
      </c>
      <c r="I143" s="223">
        <v>4</v>
      </c>
      <c r="J143" s="225"/>
      <c r="K143" s="225"/>
      <c r="L143" s="224"/>
      <c r="M143" s="225"/>
    </row>
    <row r="144" s="211" customFormat="1" ht="13.8" spans="1:13">
      <c r="A144" s="225"/>
      <c r="B144" s="225"/>
      <c r="C144" s="225"/>
      <c r="D144" s="225"/>
      <c r="E144" s="225"/>
      <c r="F144" s="225"/>
      <c r="G144" s="164" t="s">
        <v>46</v>
      </c>
      <c r="H144" s="222">
        <v>128</v>
      </c>
      <c r="I144" s="223">
        <v>4</v>
      </c>
      <c r="J144" s="225"/>
      <c r="K144" s="225"/>
      <c r="L144" s="224"/>
      <c r="M144" s="225"/>
    </row>
    <row r="145" s="211" customFormat="1" ht="13.8" spans="1:13">
      <c r="A145" s="225"/>
      <c r="B145" s="225"/>
      <c r="C145" s="225"/>
      <c r="D145" s="225"/>
      <c r="E145" s="225"/>
      <c r="F145" s="225"/>
      <c r="G145" s="164" t="s">
        <v>47</v>
      </c>
      <c r="H145" s="222">
        <v>132</v>
      </c>
      <c r="I145" s="223">
        <v>4</v>
      </c>
      <c r="J145" s="225"/>
      <c r="K145" s="225"/>
      <c r="L145" s="224"/>
      <c r="M145" s="225"/>
    </row>
    <row r="146" s="211" customFormat="1" ht="13.8" spans="1:13">
      <c r="A146" s="225"/>
      <c r="B146" s="225"/>
      <c r="C146" s="225"/>
      <c r="D146" s="225"/>
      <c r="E146" s="225"/>
      <c r="F146" s="225"/>
      <c r="G146" s="164" t="s">
        <v>48</v>
      </c>
      <c r="H146" s="222">
        <v>136</v>
      </c>
      <c r="I146" s="223">
        <v>4</v>
      </c>
      <c r="J146" s="225"/>
      <c r="K146" s="225"/>
      <c r="L146" s="224"/>
      <c r="M146" s="225"/>
    </row>
    <row r="147" s="211" customFormat="1" ht="13.8" spans="1:13">
      <c r="A147" s="225"/>
      <c r="B147" s="225"/>
      <c r="C147" s="225"/>
      <c r="D147" s="225"/>
      <c r="E147" s="225"/>
      <c r="F147" s="225"/>
      <c r="G147" s="164" t="s">
        <v>49</v>
      </c>
      <c r="H147" s="222">
        <v>140</v>
      </c>
      <c r="I147" s="223">
        <v>4</v>
      </c>
      <c r="J147" s="225"/>
      <c r="K147" s="225"/>
      <c r="L147" s="224"/>
      <c r="M147" s="225"/>
    </row>
    <row r="148" s="211" customFormat="1" spans="1:13">
      <c r="A148" s="225"/>
      <c r="B148" s="225"/>
      <c r="C148" s="225"/>
      <c r="D148" s="225"/>
      <c r="E148" s="225"/>
      <c r="F148" s="225"/>
      <c r="G148" s="164" t="s">
        <v>20</v>
      </c>
      <c r="H148" s="222">
        <v>144</v>
      </c>
      <c r="I148" s="223">
        <v>4</v>
      </c>
      <c r="J148" s="225"/>
      <c r="K148" s="225"/>
      <c r="L148" s="224"/>
      <c r="M148" s="225"/>
    </row>
    <row r="149" s="211" customFormat="1" ht="13.8" spans="1:13">
      <c r="A149" s="225"/>
      <c r="B149" s="225"/>
      <c r="C149" s="225"/>
      <c r="D149" s="225"/>
      <c r="E149" s="225"/>
      <c r="F149" s="225"/>
      <c r="G149" s="164" t="s">
        <v>50</v>
      </c>
      <c r="H149" s="222">
        <v>148</v>
      </c>
      <c r="I149" s="223">
        <v>4</v>
      </c>
      <c r="J149" s="225"/>
      <c r="K149" s="225"/>
      <c r="L149" s="224"/>
      <c r="M149" s="225"/>
    </row>
    <row r="150" s="211" customFormat="1" ht="13.8" spans="1:13">
      <c r="A150" s="225"/>
      <c r="B150" s="225"/>
      <c r="C150" s="225"/>
      <c r="D150" s="225"/>
      <c r="E150" s="225"/>
      <c r="F150" s="225"/>
      <c r="G150" s="164" t="s">
        <v>51</v>
      </c>
      <c r="H150" s="222">
        <v>152</v>
      </c>
      <c r="I150" s="223">
        <v>4</v>
      </c>
      <c r="J150" s="225"/>
      <c r="K150" s="225"/>
      <c r="L150" s="224"/>
      <c r="M150" s="225"/>
    </row>
    <row r="151" s="211" customFormat="1" ht="13.8" spans="1:13">
      <c r="A151" s="225"/>
      <c r="B151" s="225"/>
      <c r="C151" s="225"/>
      <c r="D151" s="225"/>
      <c r="E151" s="225"/>
      <c r="F151" s="225"/>
      <c r="G151" s="164" t="s">
        <v>52</v>
      </c>
      <c r="H151" s="222">
        <v>156</v>
      </c>
      <c r="I151" s="223">
        <v>4</v>
      </c>
      <c r="J151" s="225"/>
      <c r="K151" s="225"/>
      <c r="L151" s="224"/>
      <c r="M151" s="225"/>
    </row>
    <row r="152" s="211" customFormat="1" ht="13.8" spans="1:13">
      <c r="A152" s="225"/>
      <c r="B152" s="225"/>
      <c r="C152" s="225"/>
      <c r="D152" s="225"/>
      <c r="E152" s="225"/>
      <c r="F152" s="225"/>
      <c r="G152" s="226" t="s">
        <v>53</v>
      </c>
      <c r="H152" s="222">
        <v>160</v>
      </c>
      <c r="I152" s="223">
        <v>4</v>
      </c>
      <c r="J152" s="225"/>
      <c r="K152" s="225"/>
      <c r="L152" s="224"/>
      <c r="M152" s="225"/>
    </row>
    <row r="153" s="211" customFormat="1" spans="1:13">
      <c r="A153" s="221" t="s">
        <v>78</v>
      </c>
      <c r="B153" s="221" t="s">
        <v>79</v>
      </c>
      <c r="C153" s="221" t="s">
        <v>76</v>
      </c>
      <c r="D153" s="221" t="s">
        <v>16</v>
      </c>
      <c r="E153" s="221">
        <v>7026</v>
      </c>
      <c r="F153" s="221" t="s">
        <v>17</v>
      </c>
      <c r="G153" s="164" t="s">
        <v>18</v>
      </c>
      <c r="H153" s="222">
        <v>0</v>
      </c>
      <c r="I153" s="223">
        <v>4</v>
      </c>
      <c r="J153" s="221" t="s">
        <v>77</v>
      </c>
      <c r="K153" s="221">
        <v>200</v>
      </c>
      <c r="L153" s="224"/>
      <c r="M153" s="221">
        <v>1101101</v>
      </c>
    </row>
    <row r="154" s="211" customFormat="1" spans="1:13">
      <c r="A154" s="225"/>
      <c r="B154" s="225"/>
      <c r="C154" s="225"/>
      <c r="D154" s="225"/>
      <c r="E154" s="225"/>
      <c r="F154" s="225"/>
      <c r="G154" s="164" t="s">
        <v>20</v>
      </c>
      <c r="H154" s="222">
        <v>4</v>
      </c>
      <c r="I154" s="223">
        <v>4</v>
      </c>
      <c r="J154" s="225"/>
      <c r="K154" s="225"/>
      <c r="L154" s="224"/>
      <c r="M154" s="225"/>
    </row>
    <row r="155" s="211" customFormat="1" ht="13.8" spans="1:13">
      <c r="A155" s="225"/>
      <c r="B155" s="225"/>
      <c r="C155" s="225"/>
      <c r="D155" s="225"/>
      <c r="E155" s="225"/>
      <c r="F155" s="225"/>
      <c r="G155" s="164" t="s">
        <v>56</v>
      </c>
      <c r="H155" s="222">
        <v>8</v>
      </c>
      <c r="I155" s="223">
        <v>4</v>
      </c>
      <c r="J155" s="225"/>
      <c r="K155" s="225"/>
      <c r="L155" s="224"/>
      <c r="M155" s="225"/>
    </row>
    <row r="156" s="211" customFormat="1" ht="13.8" spans="1:13">
      <c r="A156" s="225"/>
      <c r="B156" s="225"/>
      <c r="C156" s="225"/>
      <c r="D156" s="225"/>
      <c r="E156" s="225"/>
      <c r="F156" s="225"/>
      <c r="G156" s="164" t="s">
        <v>57</v>
      </c>
      <c r="H156" s="222">
        <v>12</v>
      </c>
      <c r="I156" s="223">
        <v>4</v>
      </c>
      <c r="J156" s="225"/>
      <c r="K156" s="225"/>
      <c r="L156" s="224"/>
      <c r="M156" s="225"/>
    </row>
    <row r="157" s="211" customFormat="1" ht="13.8" spans="1:13">
      <c r="A157" s="227"/>
      <c r="B157" s="227"/>
      <c r="C157" s="227"/>
      <c r="D157" s="227"/>
      <c r="E157" s="227"/>
      <c r="F157" s="227"/>
      <c r="G157" s="164" t="s">
        <v>58</v>
      </c>
      <c r="H157" s="222">
        <v>16</v>
      </c>
      <c r="I157" s="223">
        <v>4</v>
      </c>
      <c r="J157" s="227"/>
      <c r="K157" s="227"/>
      <c r="L157" s="224"/>
      <c r="M157" s="227"/>
    </row>
    <row r="158" s="211" customFormat="1" spans="1:13">
      <c r="A158" s="225" t="s">
        <v>80</v>
      </c>
      <c r="B158" s="225" t="s">
        <v>81</v>
      </c>
      <c r="C158" s="225" t="s">
        <v>76</v>
      </c>
      <c r="D158" s="225" t="s">
        <v>16</v>
      </c>
      <c r="E158" s="225">
        <v>7027</v>
      </c>
      <c r="F158" s="225" t="s">
        <v>17</v>
      </c>
      <c r="G158" s="164" t="s">
        <v>18</v>
      </c>
      <c r="H158" s="222">
        <v>0</v>
      </c>
      <c r="I158" s="223">
        <v>4</v>
      </c>
      <c r="J158" s="225" t="s">
        <v>77</v>
      </c>
      <c r="K158" s="225">
        <v>200</v>
      </c>
      <c r="L158" s="224"/>
      <c r="M158" s="225">
        <v>1101101</v>
      </c>
    </row>
    <row r="159" s="211" customFormat="1" spans="1:13">
      <c r="A159" s="225"/>
      <c r="B159" s="225"/>
      <c r="C159" s="225"/>
      <c r="D159" s="225"/>
      <c r="E159" s="225"/>
      <c r="F159" s="225"/>
      <c r="G159" s="164" t="s">
        <v>20</v>
      </c>
      <c r="H159" s="222">
        <v>4</v>
      </c>
      <c r="I159" s="223">
        <v>4</v>
      </c>
      <c r="J159" s="225"/>
      <c r="K159" s="225"/>
      <c r="L159" s="224"/>
      <c r="M159" s="225"/>
    </row>
    <row r="160" s="211" customFormat="1" ht="13.8" spans="1:13">
      <c r="A160" s="225"/>
      <c r="B160" s="225"/>
      <c r="C160" s="225"/>
      <c r="D160" s="225"/>
      <c r="E160" s="225"/>
      <c r="F160" s="225"/>
      <c r="G160" s="164" t="s">
        <v>61</v>
      </c>
      <c r="H160" s="222">
        <v>8</v>
      </c>
      <c r="I160" s="223">
        <v>4</v>
      </c>
      <c r="J160" s="225"/>
      <c r="K160" s="225"/>
      <c r="L160" s="224"/>
      <c r="M160" s="225"/>
    </row>
    <row r="161" s="211" customFormat="1" ht="13.8" spans="1:13">
      <c r="A161" s="225"/>
      <c r="B161" s="225"/>
      <c r="C161" s="225"/>
      <c r="D161" s="225"/>
      <c r="E161" s="225"/>
      <c r="F161" s="225"/>
      <c r="G161" s="164" t="s">
        <v>62</v>
      </c>
      <c r="H161" s="222">
        <v>12</v>
      </c>
      <c r="I161" s="223">
        <v>4</v>
      </c>
      <c r="J161" s="225"/>
      <c r="K161" s="225"/>
      <c r="L161" s="224"/>
      <c r="M161" s="225"/>
    </row>
    <row r="162" s="211" customFormat="1" ht="13.8" spans="1:13">
      <c r="A162" s="225"/>
      <c r="B162" s="225"/>
      <c r="C162" s="225"/>
      <c r="D162" s="225"/>
      <c r="E162" s="225"/>
      <c r="F162" s="225"/>
      <c r="G162" s="164" t="s">
        <v>63</v>
      </c>
      <c r="H162" s="222">
        <v>16</v>
      </c>
      <c r="I162" s="223">
        <v>4</v>
      </c>
      <c r="J162" s="225"/>
      <c r="K162" s="225"/>
      <c r="L162" s="224"/>
      <c r="M162" s="225"/>
    </row>
    <row r="163" s="211" customFormat="1" ht="14" customHeight="1" spans="1:13">
      <c r="A163" s="225"/>
      <c r="B163" s="225"/>
      <c r="C163" s="225"/>
      <c r="D163" s="225"/>
      <c r="E163" s="225"/>
      <c r="F163" s="225"/>
      <c r="G163" s="164" t="s">
        <v>64</v>
      </c>
      <c r="H163" s="222">
        <v>20</v>
      </c>
      <c r="I163" s="223">
        <v>4</v>
      </c>
      <c r="J163" s="225"/>
      <c r="K163" s="225"/>
      <c r="L163" s="224"/>
      <c r="M163" s="225"/>
    </row>
    <row r="164" s="212" customFormat="1" spans="1:13">
      <c r="A164" s="225"/>
      <c r="B164" s="225"/>
      <c r="C164" s="225"/>
      <c r="D164" s="225"/>
      <c r="E164" s="225"/>
      <c r="F164" s="225"/>
      <c r="G164" s="164" t="s">
        <v>20</v>
      </c>
      <c r="H164" s="222">
        <v>24</v>
      </c>
      <c r="I164" s="223">
        <v>4</v>
      </c>
      <c r="J164" s="225"/>
      <c r="K164" s="225"/>
      <c r="L164" s="224"/>
      <c r="M164" s="228"/>
    </row>
    <row r="165" s="212" customFormat="1" ht="13.8" spans="1:13">
      <c r="A165" s="225"/>
      <c r="B165" s="225"/>
      <c r="C165" s="225"/>
      <c r="D165" s="225"/>
      <c r="E165" s="225"/>
      <c r="F165" s="225"/>
      <c r="G165" s="164" t="s">
        <v>65</v>
      </c>
      <c r="H165" s="222">
        <v>28</v>
      </c>
      <c r="I165" s="223">
        <v>4</v>
      </c>
      <c r="J165" s="225"/>
      <c r="K165" s="225"/>
      <c r="L165" s="224"/>
      <c r="M165" s="228"/>
    </row>
    <row r="166" s="212" customFormat="1" ht="13.8" spans="1:13">
      <c r="A166" s="225"/>
      <c r="B166" s="225"/>
      <c r="C166" s="225"/>
      <c r="D166" s="225"/>
      <c r="E166" s="225"/>
      <c r="F166" s="225"/>
      <c r="G166" s="164" t="s">
        <v>66</v>
      </c>
      <c r="H166" s="222">
        <v>32</v>
      </c>
      <c r="I166" s="223">
        <v>4</v>
      </c>
      <c r="J166" s="225"/>
      <c r="K166" s="225"/>
      <c r="L166" s="224"/>
      <c r="M166" s="228"/>
    </row>
    <row r="167" s="211" customFormat="1" spans="1:13">
      <c r="A167" s="229" t="s">
        <v>82</v>
      </c>
      <c r="B167" s="230" t="s">
        <v>83</v>
      </c>
      <c r="C167" s="229" t="s">
        <v>84</v>
      </c>
      <c r="D167" s="230" t="s">
        <v>85</v>
      </c>
      <c r="E167" s="231">
        <v>7004</v>
      </c>
      <c r="F167" s="231" t="s">
        <v>86</v>
      </c>
      <c r="G167" s="232" t="s">
        <v>87</v>
      </c>
      <c r="H167" s="233">
        <v>0</v>
      </c>
      <c r="I167" s="233">
        <v>4</v>
      </c>
      <c r="J167" s="229" t="s">
        <v>19</v>
      </c>
      <c r="K167" s="233">
        <v>10</v>
      </c>
      <c r="L167" s="234"/>
      <c r="M167" s="231">
        <v>1303201</v>
      </c>
    </row>
    <row r="168" s="211" customFormat="1" spans="1:13">
      <c r="A168" s="235"/>
      <c r="B168" s="236"/>
      <c r="C168" s="235"/>
      <c r="D168" s="236"/>
      <c r="E168" s="237"/>
      <c r="F168" s="237"/>
      <c r="G168" s="232" t="s">
        <v>88</v>
      </c>
      <c r="H168" s="233">
        <v>4</v>
      </c>
      <c r="I168" s="233">
        <v>4</v>
      </c>
      <c r="J168" s="235"/>
      <c r="K168" s="233"/>
      <c r="L168" s="234"/>
      <c r="M168" s="237"/>
    </row>
    <row r="169" s="211" customFormat="1" spans="1:13">
      <c r="A169" s="235"/>
      <c r="B169" s="236"/>
      <c r="C169" s="235"/>
      <c r="D169" s="236"/>
      <c r="E169" s="237"/>
      <c r="F169" s="237"/>
      <c r="G169" s="232" t="s">
        <v>89</v>
      </c>
      <c r="H169" s="233">
        <v>8</v>
      </c>
      <c r="I169" s="233">
        <v>4</v>
      </c>
      <c r="J169" s="235"/>
      <c r="K169" s="233"/>
      <c r="L169" s="234"/>
      <c r="M169" s="237"/>
    </row>
    <row r="170" s="211" customFormat="1" spans="1:13">
      <c r="A170" s="238"/>
      <c r="B170" s="239"/>
      <c r="C170" s="238"/>
      <c r="D170" s="239"/>
      <c r="E170" s="240"/>
      <c r="F170" s="240"/>
      <c r="G170" s="241" t="s">
        <v>90</v>
      </c>
      <c r="H170" s="233">
        <v>12</v>
      </c>
      <c r="I170" s="233">
        <v>80</v>
      </c>
      <c r="J170" s="238"/>
      <c r="K170" s="233"/>
      <c r="L170" s="234"/>
      <c r="M170" s="240"/>
    </row>
    <row r="171" s="211" customFormat="1" spans="1:13">
      <c r="A171" s="229" t="s">
        <v>91</v>
      </c>
      <c r="B171" s="242" t="s">
        <v>92</v>
      </c>
      <c r="C171" s="229" t="s">
        <v>93</v>
      </c>
      <c r="D171" s="242" t="s">
        <v>85</v>
      </c>
      <c r="E171" s="231">
        <v>7005</v>
      </c>
      <c r="F171" s="231" t="s">
        <v>86</v>
      </c>
      <c r="G171" s="232" t="s">
        <v>87</v>
      </c>
      <c r="H171" s="233">
        <v>0</v>
      </c>
      <c r="I171" s="233">
        <v>4</v>
      </c>
      <c r="J171" s="229" t="s">
        <v>71</v>
      </c>
      <c r="K171" s="229">
        <v>10</v>
      </c>
      <c r="L171" s="234"/>
      <c r="M171" s="231">
        <v>1203201</v>
      </c>
    </row>
    <row r="172" s="211" customFormat="1" spans="1:13">
      <c r="A172" s="235"/>
      <c r="B172" s="235"/>
      <c r="C172" s="235"/>
      <c r="D172" s="235"/>
      <c r="E172" s="237"/>
      <c r="F172" s="237"/>
      <c r="G172" s="232" t="s">
        <v>88</v>
      </c>
      <c r="H172" s="233">
        <v>4</v>
      </c>
      <c r="I172" s="233">
        <v>4</v>
      </c>
      <c r="J172" s="235"/>
      <c r="K172" s="235"/>
      <c r="L172" s="234"/>
      <c r="M172" s="237"/>
    </row>
    <row r="173" s="211" customFormat="1" spans="1:13">
      <c r="A173" s="235"/>
      <c r="B173" s="235"/>
      <c r="C173" s="235"/>
      <c r="D173" s="235"/>
      <c r="E173" s="237"/>
      <c r="F173" s="237"/>
      <c r="G173" s="232" t="s">
        <v>89</v>
      </c>
      <c r="H173" s="233">
        <v>8</v>
      </c>
      <c r="I173" s="233">
        <v>4</v>
      </c>
      <c r="J173" s="235"/>
      <c r="K173" s="235"/>
      <c r="L173" s="234"/>
      <c r="M173" s="237"/>
    </row>
    <row r="174" s="211" customFormat="1" spans="1:13">
      <c r="A174" s="235"/>
      <c r="B174" s="235"/>
      <c r="C174" s="235"/>
      <c r="D174" s="235"/>
      <c r="E174" s="237"/>
      <c r="F174" s="237"/>
      <c r="G174" s="241" t="s">
        <v>90</v>
      </c>
      <c r="H174" s="233">
        <v>12</v>
      </c>
      <c r="I174" s="233">
        <v>80</v>
      </c>
      <c r="J174" s="235"/>
      <c r="K174" s="238"/>
      <c r="L174" s="234"/>
      <c r="M174" s="237"/>
    </row>
    <row r="175" s="211" customFormat="1" spans="1:13">
      <c r="A175" s="229" t="s">
        <v>94</v>
      </c>
      <c r="B175" s="242" t="s">
        <v>95</v>
      </c>
      <c r="C175" s="229" t="s">
        <v>96</v>
      </c>
      <c r="D175" s="242" t="s">
        <v>85</v>
      </c>
      <c r="E175" s="231">
        <v>7006</v>
      </c>
      <c r="F175" s="231" t="s">
        <v>86</v>
      </c>
      <c r="G175" s="232" t="s">
        <v>87</v>
      </c>
      <c r="H175" s="233">
        <v>0</v>
      </c>
      <c r="I175" s="233">
        <v>4</v>
      </c>
      <c r="J175" s="229" t="s">
        <v>97</v>
      </c>
      <c r="K175" s="233">
        <v>10</v>
      </c>
      <c r="L175" s="234"/>
      <c r="M175" s="231">
        <v>1403201</v>
      </c>
    </row>
    <row r="176" s="211" customFormat="1" spans="1:13">
      <c r="A176" s="235"/>
      <c r="B176" s="235"/>
      <c r="C176" s="235"/>
      <c r="D176" s="235"/>
      <c r="E176" s="237"/>
      <c r="F176" s="237"/>
      <c r="G176" s="232" t="s">
        <v>88</v>
      </c>
      <c r="H176" s="233">
        <v>4</v>
      </c>
      <c r="I176" s="233">
        <v>4</v>
      </c>
      <c r="J176" s="235"/>
      <c r="K176" s="233"/>
      <c r="L176" s="234"/>
      <c r="M176" s="237"/>
    </row>
    <row r="177" s="211" customFormat="1" spans="1:13">
      <c r="A177" s="235"/>
      <c r="B177" s="235"/>
      <c r="C177" s="235"/>
      <c r="D177" s="235"/>
      <c r="E177" s="237"/>
      <c r="F177" s="237"/>
      <c r="G177" s="232" t="s">
        <v>89</v>
      </c>
      <c r="H177" s="233">
        <v>8</v>
      </c>
      <c r="I177" s="233">
        <v>4</v>
      </c>
      <c r="J177" s="235"/>
      <c r="K177" s="233"/>
      <c r="L177" s="234"/>
      <c r="M177" s="237"/>
    </row>
    <row r="178" s="211" customFormat="1" spans="1:13">
      <c r="A178" s="238"/>
      <c r="B178" s="238"/>
      <c r="C178" s="238"/>
      <c r="D178" s="238"/>
      <c r="E178" s="240"/>
      <c r="F178" s="240"/>
      <c r="G178" s="241" t="s">
        <v>90</v>
      </c>
      <c r="H178" s="233">
        <v>12</v>
      </c>
      <c r="I178" s="233">
        <v>80</v>
      </c>
      <c r="J178" s="238"/>
      <c r="K178" s="233"/>
      <c r="L178" s="234"/>
      <c r="M178" s="240"/>
    </row>
    <row r="179" s="211" customFormat="1" spans="1:13">
      <c r="A179" s="243" t="s">
        <v>98</v>
      </c>
      <c r="B179" s="243" t="s">
        <v>99</v>
      </c>
      <c r="C179" s="243" t="s">
        <v>100</v>
      </c>
      <c r="D179" s="244" t="s">
        <v>16</v>
      </c>
      <c r="E179" s="244">
        <v>7007</v>
      </c>
      <c r="F179" s="244" t="s">
        <v>17</v>
      </c>
      <c r="G179" s="245" t="s">
        <v>18</v>
      </c>
      <c r="H179" s="246">
        <v>0</v>
      </c>
      <c r="I179" s="247">
        <v>4</v>
      </c>
      <c r="J179" s="248" t="s">
        <v>77</v>
      </c>
      <c r="K179" s="247">
        <v>40</v>
      </c>
      <c r="L179" s="249"/>
      <c r="M179" s="244">
        <v>1101102</v>
      </c>
    </row>
    <row r="180" s="211" customFormat="1" spans="1:13">
      <c r="A180" s="250"/>
      <c r="B180" s="250"/>
      <c r="C180" s="250"/>
      <c r="D180" s="251"/>
      <c r="E180" s="251"/>
      <c r="F180" s="251"/>
      <c r="G180" s="245" t="s">
        <v>20</v>
      </c>
      <c r="H180" s="246">
        <v>4</v>
      </c>
      <c r="I180" s="247">
        <v>4</v>
      </c>
      <c r="J180" s="252"/>
      <c r="K180" s="247"/>
      <c r="L180" s="249"/>
      <c r="M180" s="251"/>
    </row>
    <row r="181" s="211" customFormat="1" ht="13.8" spans="1:13">
      <c r="A181" s="250"/>
      <c r="B181" s="250"/>
      <c r="C181" s="250"/>
      <c r="D181" s="251"/>
      <c r="E181" s="251"/>
      <c r="F181" s="251"/>
      <c r="G181" s="245" t="s">
        <v>101</v>
      </c>
      <c r="H181" s="246">
        <v>8</v>
      </c>
      <c r="I181" s="247">
        <v>4</v>
      </c>
      <c r="J181" s="252"/>
      <c r="K181" s="247"/>
      <c r="L181" s="249"/>
      <c r="M181" s="251"/>
    </row>
    <row r="182" s="211" customFormat="1" ht="13.8" spans="1:13">
      <c r="A182" s="253"/>
      <c r="B182" s="253"/>
      <c r="C182" s="253"/>
      <c r="D182" s="254"/>
      <c r="E182" s="254"/>
      <c r="F182" s="254"/>
      <c r="G182" s="245" t="s">
        <v>102</v>
      </c>
      <c r="H182" s="246">
        <v>12</v>
      </c>
      <c r="I182" s="247">
        <v>4</v>
      </c>
      <c r="J182" s="255"/>
      <c r="K182" s="247"/>
      <c r="L182" s="249"/>
      <c r="M182" s="254"/>
    </row>
    <row r="183" s="211" customFormat="1" spans="1:13">
      <c r="A183" s="243" t="s">
        <v>103</v>
      </c>
      <c r="B183" s="243" t="s">
        <v>104</v>
      </c>
      <c r="C183" s="243" t="s">
        <v>100</v>
      </c>
      <c r="D183" s="244" t="s">
        <v>16</v>
      </c>
      <c r="E183" s="244">
        <v>7008</v>
      </c>
      <c r="F183" s="244" t="s">
        <v>17</v>
      </c>
      <c r="G183" s="245" t="s">
        <v>18</v>
      </c>
      <c r="H183" s="246">
        <v>0</v>
      </c>
      <c r="I183" s="247">
        <v>4</v>
      </c>
      <c r="J183" s="248" t="s">
        <v>77</v>
      </c>
      <c r="K183" s="247">
        <v>160</v>
      </c>
      <c r="L183" s="249"/>
      <c r="M183" s="244">
        <v>1101102</v>
      </c>
    </row>
    <row r="184" s="211" customFormat="1" spans="1:13">
      <c r="A184" s="250"/>
      <c r="B184" s="250"/>
      <c r="C184" s="250"/>
      <c r="D184" s="251"/>
      <c r="E184" s="251"/>
      <c r="F184" s="251"/>
      <c r="G184" s="245" t="s">
        <v>20</v>
      </c>
      <c r="H184" s="246">
        <v>4</v>
      </c>
      <c r="I184" s="247">
        <v>4</v>
      </c>
      <c r="J184" s="252"/>
      <c r="K184" s="247"/>
      <c r="L184" s="249"/>
      <c r="M184" s="251"/>
    </row>
    <row r="185" s="211" customFormat="1" ht="13.8" spans="1:13">
      <c r="A185" s="253"/>
      <c r="B185" s="253"/>
      <c r="C185" s="253"/>
      <c r="D185" s="254"/>
      <c r="E185" s="254"/>
      <c r="F185" s="254"/>
      <c r="G185" s="245" t="s">
        <v>105</v>
      </c>
      <c r="H185" s="246">
        <v>8</v>
      </c>
      <c r="I185" s="247">
        <v>4</v>
      </c>
      <c r="J185" s="255"/>
      <c r="K185" s="247"/>
      <c r="L185" s="249"/>
      <c r="M185" s="254"/>
    </row>
    <row r="186" s="211" customFormat="1" spans="1:13">
      <c r="A186" s="243" t="s">
        <v>106</v>
      </c>
      <c r="B186" s="243" t="s">
        <v>107</v>
      </c>
      <c r="C186" s="243" t="s">
        <v>100</v>
      </c>
      <c r="D186" s="244" t="s">
        <v>16</v>
      </c>
      <c r="E186" s="244">
        <v>7009</v>
      </c>
      <c r="F186" s="244" t="s">
        <v>17</v>
      </c>
      <c r="G186" s="245" t="s">
        <v>18</v>
      </c>
      <c r="H186" s="246">
        <v>0</v>
      </c>
      <c r="I186" s="247">
        <v>4</v>
      </c>
      <c r="J186" s="248" t="s">
        <v>77</v>
      </c>
      <c r="K186" s="247">
        <v>1000</v>
      </c>
      <c r="L186" s="249"/>
      <c r="M186" s="244">
        <v>1101102</v>
      </c>
    </row>
    <row r="187" s="211" customFormat="1" spans="1:13">
      <c r="A187" s="250"/>
      <c r="B187" s="250"/>
      <c r="C187" s="250"/>
      <c r="D187" s="251"/>
      <c r="E187" s="251"/>
      <c r="F187" s="251"/>
      <c r="G187" s="245" t="s">
        <v>20</v>
      </c>
      <c r="H187" s="246">
        <v>4</v>
      </c>
      <c r="I187" s="247">
        <v>4</v>
      </c>
      <c r="J187" s="252"/>
      <c r="K187" s="247"/>
      <c r="L187" s="249"/>
      <c r="M187" s="251"/>
    </row>
    <row r="188" s="211" customFormat="1" ht="13.8" spans="1:13">
      <c r="A188" s="253"/>
      <c r="B188" s="253"/>
      <c r="C188" s="253"/>
      <c r="D188" s="254"/>
      <c r="E188" s="254"/>
      <c r="F188" s="254"/>
      <c r="G188" s="245" t="s">
        <v>51</v>
      </c>
      <c r="H188" s="246">
        <v>8</v>
      </c>
      <c r="I188" s="247">
        <v>4</v>
      </c>
      <c r="J188" s="255"/>
      <c r="K188" s="247"/>
      <c r="L188" s="249"/>
      <c r="M188" s="254"/>
    </row>
    <row r="189" s="211" customFormat="1" spans="1:13">
      <c r="A189" s="243" t="s">
        <v>108</v>
      </c>
      <c r="B189" s="243" t="s">
        <v>109</v>
      </c>
      <c r="C189" s="243" t="s">
        <v>110</v>
      </c>
      <c r="D189" s="244" t="s">
        <v>16</v>
      </c>
      <c r="E189" s="244">
        <v>7010</v>
      </c>
      <c r="F189" s="244" t="s">
        <v>17</v>
      </c>
      <c r="G189" s="245" t="s">
        <v>18</v>
      </c>
      <c r="H189" s="246">
        <v>0</v>
      </c>
      <c r="I189" s="247">
        <v>4</v>
      </c>
      <c r="J189" s="248" t="s">
        <v>19</v>
      </c>
      <c r="K189" s="247">
        <v>40</v>
      </c>
      <c r="L189" s="249"/>
      <c r="M189" s="256">
        <v>1301103</v>
      </c>
    </row>
    <row r="190" s="211" customFormat="1" spans="1:13">
      <c r="A190" s="250"/>
      <c r="B190" s="250"/>
      <c r="C190" s="250"/>
      <c r="D190" s="251"/>
      <c r="E190" s="251"/>
      <c r="F190" s="251"/>
      <c r="G190" s="245" t="s">
        <v>20</v>
      </c>
      <c r="H190" s="246">
        <v>4</v>
      </c>
      <c r="I190" s="247">
        <v>4</v>
      </c>
      <c r="J190" s="252"/>
      <c r="K190" s="247"/>
      <c r="L190" s="249"/>
      <c r="M190" s="257"/>
    </row>
    <row r="191" s="211" customFormat="1" ht="13.8" spans="1:13">
      <c r="A191" s="250"/>
      <c r="B191" s="250"/>
      <c r="C191" s="250"/>
      <c r="D191" s="251"/>
      <c r="E191" s="251"/>
      <c r="F191" s="251"/>
      <c r="G191" s="245" t="s">
        <v>101</v>
      </c>
      <c r="H191" s="246">
        <v>8</v>
      </c>
      <c r="I191" s="247">
        <v>4</v>
      </c>
      <c r="J191" s="252"/>
      <c r="K191" s="247"/>
      <c r="L191" s="249"/>
      <c r="M191" s="257"/>
    </row>
    <row r="192" s="211" customFormat="1" ht="13.8" spans="1:13">
      <c r="A192" s="253"/>
      <c r="B192" s="253"/>
      <c r="C192" s="253"/>
      <c r="D192" s="254"/>
      <c r="E192" s="254"/>
      <c r="F192" s="254"/>
      <c r="G192" s="245" t="s">
        <v>102</v>
      </c>
      <c r="H192" s="246">
        <v>12</v>
      </c>
      <c r="I192" s="247">
        <v>4</v>
      </c>
      <c r="J192" s="255"/>
      <c r="K192" s="247"/>
      <c r="L192" s="249"/>
      <c r="M192" s="258"/>
    </row>
    <row r="193" s="211" customFormat="1" spans="1:13">
      <c r="A193" s="243" t="s">
        <v>111</v>
      </c>
      <c r="B193" s="243" t="s">
        <v>112</v>
      </c>
      <c r="C193" s="243" t="s">
        <v>110</v>
      </c>
      <c r="D193" s="244" t="s">
        <v>16</v>
      </c>
      <c r="E193" s="244">
        <v>7011</v>
      </c>
      <c r="F193" s="244" t="s">
        <v>17</v>
      </c>
      <c r="G193" s="245" t="s">
        <v>18</v>
      </c>
      <c r="H193" s="246">
        <v>0</v>
      </c>
      <c r="I193" s="247">
        <v>4</v>
      </c>
      <c r="J193" s="248" t="s">
        <v>19</v>
      </c>
      <c r="K193" s="247">
        <v>160</v>
      </c>
      <c r="L193" s="249"/>
      <c r="M193" s="256">
        <v>1301103</v>
      </c>
    </row>
    <row r="194" s="211" customFormat="1" spans="1:13">
      <c r="A194" s="250"/>
      <c r="B194" s="250"/>
      <c r="C194" s="250"/>
      <c r="D194" s="251"/>
      <c r="E194" s="251"/>
      <c r="F194" s="251"/>
      <c r="G194" s="245" t="s">
        <v>20</v>
      </c>
      <c r="H194" s="246">
        <v>4</v>
      </c>
      <c r="I194" s="247">
        <v>4</v>
      </c>
      <c r="J194" s="252"/>
      <c r="K194" s="247"/>
      <c r="L194" s="249"/>
      <c r="M194" s="257"/>
    </row>
    <row r="195" s="211" customFormat="1" ht="13.8" spans="1:13">
      <c r="A195" s="253"/>
      <c r="B195" s="253"/>
      <c r="C195" s="253"/>
      <c r="D195" s="254"/>
      <c r="E195" s="254"/>
      <c r="F195" s="254"/>
      <c r="G195" s="245" t="s">
        <v>105</v>
      </c>
      <c r="H195" s="246">
        <v>8</v>
      </c>
      <c r="I195" s="247">
        <v>4</v>
      </c>
      <c r="J195" s="255"/>
      <c r="K195" s="247"/>
      <c r="L195" s="249"/>
      <c r="M195" s="258"/>
    </row>
    <row r="196" s="211" customFormat="1" spans="1:13">
      <c r="A196" s="243" t="s">
        <v>113</v>
      </c>
      <c r="B196" s="243" t="s">
        <v>114</v>
      </c>
      <c r="C196" s="243" t="s">
        <v>110</v>
      </c>
      <c r="D196" s="244" t="s">
        <v>16</v>
      </c>
      <c r="E196" s="244">
        <v>7012</v>
      </c>
      <c r="F196" s="244" t="s">
        <v>17</v>
      </c>
      <c r="G196" s="245" t="s">
        <v>18</v>
      </c>
      <c r="H196" s="246">
        <v>0</v>
      </c>
      <c r="I196" s="247">
        <v>4</v>
      </c>
      <c r="J196" s="248" t="s">
        <v>19</v>
      </c>
      <c r="K196" s="247">
        <v>1000</v>
      </c>
      <c r="L196" s="249"/>
      <c r="M196" s="256">
        <v>1301103</v>
      </c>
    </row>
    <row r="197" s="213" customFormat="1" spans="1:13">
      <c r="A197" s="250"/>
      <c r="B197" s="250"/>
      <c r="C197" s="250"/>
      <c r="D197" s="251"/>
      <c r="E197" s="251"/>
      <c r="F197" s="251"/>
      <c r="G197" s="245" t="s">
        <v>20</v>
      </c>
      <c r="H197" s="246">
        <v>4</v>
      </c>
      <c r="I197" s="247">
        <v>4</v>
      </c>
      <c r="J197" s="252"/>
      <c r="K197" s="247"/>
      <c r="L197" s="249"/>
      <c r="M197" s="257"/>
    </row>
    <row r="198" s="213" customFormat="1" spans="1:13">
      <c r="A198" s="253"/>
      <c r="B198" s="253"/>
      <c r="C198" s="253"/>
      <c r="D198" s="254"/>
      <c r="E198" s="254"/>
      <c r="F198" s="254"/>
      <c r="G198" s="245" t="s">
        <v>51</v>
      </c>
      <c r="H198" s="246">
        <v>8</v>
      </c>
      <c r="I198" s="247">
        <v>4</v>
      </c>
      <c r="J198" s="255"/>
      <c r="K198" s="247"/>
      <c r="L198" s="249"/>
      <c r="M198" s="258"/>
    </row>
    <row r="199" s="213" customFormat="1" spans="1:13">
      <c r="A199" s="48" t="s">
        <v>115</v>
      </c>
      <c r="B199" s="48" t="s">
        <v>116</v>
      </c>
      <c r="C199" s="48" t="s">
        <v>117</v>
      </c>
      <c r="D199" s="48" t="s">
        <v>118</v>
      </c>
      <c r="E199" s="48">
        <v>7014</v>
      </c>
      <c r="F199" s="259" t="s">
        <v>17</v>
      </c>
      <c r="G199" s="260" t="s">
        <v>87</v>
      </c>
      <c r="H199" s="48">
        <v>0</v>
      </c>
      <c r="I199" s="48">
        <v>4</v>
      </c>
      <c r="J199" s="48" t="s">
        <v>119</v>
      </c>
      <c r="K199" s="65">
        <v>100</v>
      </c>
      <c r="L199" s="98"/>
      <c r="M199" s="61">
        <v>1602201</v>
      </c>
    </row>
    <row r="200" s="213" customFormat="1" spans="1:13">
      <c r="A200" s="48"/>
      <c r="B200" s="48"/>
      <c r="C200" s="48"/>
      <c r="D200" s="48"/>
      <c r="E200" s="48"/>
      <c r="F200" s="259"/>
      <c r="G200" s="259" t="s">
        <v>120</v>
      </c>
      <c r="H200" s="48">
        <v>4</v>
      </c>
      <c r="I200" s="48">
        <v>4</v>
      </c>
      <c r="J200" s="48"/>
      <c r="K200" s="65"/>
      <c r="L200" s="98"/>
      <c r="M200" s="63"/>
    </row>
    <row r="201" s="213" customFormat="1" spans="1:13">
      <c r="A201" s="48"/>
      <c r="B201" s="48"/>
      <c r="C201" s="48"/>
      <c r="D201" s="48"/>
      <c r="E201" s="48"/>
      <c r="F201" s="259"/>
      <c r="G201" s="48" t="s">
        <v>121</v>
      </c>
      <c r="H201" s="48">
        <v>8</v>
      </c>
      <c r="I201" s="48">
        <v>16</v>
      </c>
      <c r="J201" s="48"/>
      <c r="K201" s="65"/>
      <c r="L201" s="98" t="s">
        <v>122</v>
      </c>
      <c r="M201" s="63"/>
    </row>
    <row r="202" s="213" customFormat="1" spans="1:13">
      <c r="A202" s="48"/>
      <c r="B202" s="48"/>
      <c r="C202" s="48"/>
      <c r="D202" s="48"/>
      <c r="E202" s="48"/>
      <c r="F202" s="259"/>
      <c r="G202" s="48" t="s">
        <v>123</v>
      </c>
      <c r="H202" s="48">
        <f t="shared" ref="H202:H212" si="0">H201+I201</f>
        <v>24</v>
      </c>
      <c r="I202" s="48">
        <v>16</v>
      </c>
      <c r="J202" s="48"/>
      <c r="K202" s="65"/>
      <c r="L202" s="98" t="s">
        <v>122</v>
      </c>
      <c r="M202" s="63"/>
    </row>
    <row r="203" s="213" customFormat="1" spans="1:13">
      <c r="A203" s="48"/>
      <c r="B203" s="48"/>
      <c r="C203" s="48"/>
      <c r="D203" s="48"/>
      <c r="E203" s="48"/>
      <c r="F203" s="259"/>
      <c r="G203" s="48" t="s">
        <v>124</v>
      </c>
      <c r="H203" s="48">
        <f t="shared" si="0"/>
        <v>40</v>
      </c>
      <c r="I203" s="48">
        <v>16</v>
      </c>
      <c r="J203" s="48"/>
      <c r="K203" s="65"/>
      <c r="L203" s="98" t="s">
        <v>122</v>
      </c>
      <c r="M203" s="63"/>
    </row>
    <row r="204" s="213" customFormat="1" spans="1:13">
      <c r="A204" s="48"/>
      <c r="B204" s="48"/>
      <c r="C204" s="48"/>
      <c r="D204" s="48"/>
      <c r="E204" s="48"/>
      <c r="F204" s="259"/>
      <c r="G204" s="48" t="s">
        <v>125</v>
      </c>
      <c r="H204" s="48">
        <f t="shared" si="0"/>
        <v>56</v>
      </c>
      <c r="I204" s="48">
        <v>16</v>
      </c>
      <c r="J204" s="48"/>
      <c r="K204" s="65"/>
      <c r="L204" s="98" t="s">
        <v>122</v>
      </c>
      <c r="M204" s="63"/>
    </row>
    <row r="205" s="213" customFormat="1" spans="1:13">
      <c r="A205" s="48"/>
      <c r="B205" s="48"/>
      <c r="C205" s="48"/>
      <c r="D205" s="48"/>
      <c r="E205" s="48"/>
      <c r="F205" s="259"/>
      <c r="G205" s="259" t="s">
        <v>120</v>
      </c>
      <c r="H205" s="48">
        <f t="shared" si="0"/>
        <v>72</v>
      </c>
      <c r="I205" s="48">
        <v>4</v>
      </c>
      <c r="J205" s="48"/>
      <c r="K205" s="65"/>
      <c r="L205" s="98"/>
      <c r="M205" s="63"/>
    </row>
    <row r="206" s="213" customFormat="1" spans="1:13">
      <c r="A206" s="48"/>
      <c r="B206" s="48"/>
      <c r="C206" s="48"/>
      <c r="D206" s="48"/>
      <c r="E206" s="48"/>
      <c r="F206" s="259"/>
      <c r="G206" s="48" t="s">
        <v>126</v>
      </c>
      <c r="H206" s="48">
        <f t="shared" si="0"/>
        <v>76</v>
      </c>
      <c r="I206" s="48">
        <v>16</v>
      </c>
      <c r="J206" s="48"/>
      <c r="K206" s="65"/>
      <c r="L206" s="98" t="s">
        <v>122</v>
      </c>
      <c r="M206" s="63"/>
    </row>
    <row r="207" s="213" customFormat="1" spans="1:13">
      <c r="A207" s="48"/>
      <c r="B207" s="48"/>
      <c r="C207" s="48"/>
      <c r="D207" s="48"/>
      <c r="E207" s="48"/>
      <c r="F207" s="259"/>
      <c r="G207" s="48" t="s">
        <v>127</v>
      </c>
      <c r="H207" s="48">
        <f t="shared" si="0"/>
        <v>92</v>
      </c>
      <c r="I207" s="48">
        <v>16</v>
      </c>
      <c r="J207" s="48"/>
      <c r="K207" s="65"/>
      <c r="L207" s="98" t="s">
        <v>122</v>
      </c>
      <c r="M207" s="63"/>
    </row>
    <row r="208" s="213" customFormat="1" spans="1:13">
      <c r="A208" s="48"/>
      <c r="B208" s="48"/>
      <c r="C208" s="48"/>
      <c r="D208" s="48"/>
      <c r="E208" s="48"/>
      <c r="F208" s="259"/>
      <c r="G208" s="48" t="s">
        <v>128</v>
      </c>
      <c r="H208" s="48">
        <f t="shared" si="0"/>
        <v>108</v>
      </c>
      <c r="I208" s="48">
        <v>16</v>
      </c>
      <c r="J208" s="48"/>
      <c r="K208" s="65"/>
      <c r="L208" s="98" t="s">
        <v>122</v>
      </c>
      <c r="M208" s="63"/>
    </row>
    <row r="209" s="213" customFormat="1" spans="1:13">
      <c r="A209" s="48"/>
      <c r="B209" s="48"/>
      <c r="C209" s="48"/>
      <c r="D209" s="48"/>
      <c r="E209" s="48"/>
      <c r="F209" s="259"/>
      <c r="G209" s="48" t="s">
        <v>129</v>
      </c>
      <c r="H209" s="48">
        <f t="shared" si="0"/>
        <v>124</v>
      </c>
      <c r="I209" s="48">
        <v>16</v>
      </c>
      <c r="J209" s="48"/>
      <c r="K209" s="65"/>
      <c r="L209" s="98" t="s">
        <v>122</v>
      </c>
      <c r="M209" s="63"/>
    </row>
    <row r="210" s="213" customFormat="1" spans="1:13">
      <c r="A210" s="48"/>
      <c r="B210" s="48"/>
      <c r="C210" s="48"/>
      <c r="D210" s="48"/>
      <c r="E210" s="48"/>
      <c r="F210" s="259"/>
      <c r="G210" s="259" t="s">
        <v>120</v>
      </c>
      <c r="H210" s="48">
        <f t="shared" si="0"/>
        <v>140</v>
      </c>
      <c r="I210" s="48">
        <v>4</v>
      </c>
      <c r="J210" s="48"/>
      <c r="K210" s="65"/>
      <c r="L210" s="98"/>
      <c r="M210" s="63"/>
    </row>
    <row r="211" s="213" customFormat="1" spans="1:13">
      <c r="A211" s="48"/>
      <c r="B211" s="48"/>
      <c r="C211" s="48"/>
      <c r="D211" s="48"/>
      <c r="E211" s="48"/>
      <c r="F211" s="259"/>
      <c r="G211" s="48" t="s">
        <v>130</v>
      </c>
      <c r="H211" s="48">
        <f t="shared" si="0"/>
        <v>144</v>
      </c>
      <c r="I211" s="48">
        <v>16</v>
      </c>
      <c r="J211" s="48"/>
      <c r="K211" s="65"/>
      <c r="L211" s="98" t="s">
        <v>122</v>
      </c>
      <c r="M211" s="63"/>
    </row>
    <row r="212" s="213" customFormat="1" spans="1:13">
      <c r="A212" s="48"/>
      <c r="B212" s="48"/>
      <c r="C212" s="48"/>
      <c r="D212" s="48"/>
      <c r="E212" s="48"/>
      <c r="F212" s="259"/>
      <c r="G212" s="48" t="s">
        <v>131</v>
      </c>
      <c r="H212" s="48">
        <f t="shared" si="0"/>
        <v>160</v>
      </c>
      <c r="I212" s="48">
        <v>16</v>
      </c>
      <c r="J212" s="48"/>
      <c r="K212" s="65"/>
      <c r="L212" s="98" t="s">
        <v>122</v>
      </c>
      <c r="M212" s="66"/>
    </row>
    <row r="213" s="213" customFormat="1" spans="1:13">
      <c r="A213" s="48" t="s">
        <v>115</v>
      </c>
      <c r="B213" s="48" t="s">
        <v>132</v>
      </c>
      <c r="C213" s="48" t="s">
        <v>117</v>
      </c>
      <c r="D213" s="48" t="s">
        <v>133</v>
      </c>
      <c r="E213" s="48">
        <v>7016</v>
      </c>
      <c r="F213" s="259" t="s">
        <v>17</v>
      </c>
      <c r="G213" s="259" t="s">
        <v>134</v>
      </c>
      <c r="H213" s="48">
        <v>0</v>
      </c>
      <c r="I213" s="48">
        <v>4</v>
      </c>
      <c r="J213" s="48" t="s">
        <v>135</v>
      </c>
      <c r="K213" s="65">
        <v>100</v>
      </c>
      <c r="L213" s="98"/>
      <c r="M213" s="61">
        <v>1502201</v>
      </c>
    </row>
    <row r="214" s="213" customFormat="1" spans="1:13">
      <c r="A214" s="48"/>
      <c r="B214" s="48"/>
      <c r="C214" s="48"/>
      <c r="D214" s="48"/>
      <c r="E214" s="48"/>
      <c r="F214" s="259"/>
      <c r="G214" s="259" t="s">
        <v>120</v>
      </c>
      <c r="H214" s="48">
        <v>4</v>
      </c>
      <c r="I214" s="48">
        <v>4</v>
      </c>
      <c r="J214" s="48"/>
      <c r="K214" s="65"/>
      <c r="L214" s="98"/>
      <c r="M214" s="63"/>
    </row>
    <row r="215" s="213" customFormat="1" spans="1:13">
      <c r="A215" s="48"/>
      <c r="B215" s="48"/>
      <c r="C215" s="48"/>
      <c r="D215" s="48"/>
      <c r="E215" s="48"/>
      <c r="F215" s="259"/>
      <c r="G215" s="48" t="s">
        <v>121</v>
      </c>
      <c r="H215" s="48">
        <v>8</v>
      </c>
      <c r="I215" s="48">
        <v>16</v>
      </c>
      <c r="J215" s="48"/>
      <c r="K215" s="65"/>
      <c r="L215" s="98" t="s">
        <v>122</v>
      </c>
      <c r="M215" s="63"/>
    </row>
    <row r="216" s="213" customFormat="1" spans="1:13">
      <c r="A216" s="48"/>
      <c r="B216" s="48"/>
      <c r="C216" s="48"/>
      <c r="D216" s="48"/>
      <c r="E216" s="48"/>
      <c r="F216" s="259"/>
      <c r="G216" s="48" t="s">
        <v>123</v>
      </c>
      <c r="H216" s="48">
        <f t="shared" ref="H216:H226" si="1">H215+I215</f>
        <v>24</v>
      </c>
      <c r="I216" s="48">
        <v>16</v>
      </c>
      <c r="J216" s="48"/>
      <c r="K216" s="65"/>
      <c r="L216" s="98" t="s">
        <v>122</v>
      </c>
      <c r="M216" s="63"/>
    </row>
    <row r="217" s="213" customFormat="1" spans="1:13">
      <c r="A217" s="48"/>
      <c r="B217" s="48"/>
      <c r="C217" s="48"/>
      <c r="D217" s="48"/>
      <c r="E217" s="48"/>
      <c r="F217" s="259"/>
      <c r="G217" s="48" t="s">
        <v>124</v>
      </c>
      <c r="H217" s="48">
        <f t="shared" si="1"/>
        <v>40</v>
      </c>
      <c r="I217" s="48">
        <v>16</v>
      </c>
      <c r="J217" s="48"/>
      <c r="K217" s="65"/>
      <c r="L217" s="98" t="s">
        <v>122</v>
      </c>
      <c r="M217" s="63"/>
    </row>
    <row r="218" s="213" customFormat="1" spans="1:13">
      <c r="A218" s="48"/>
      <c r="B218" s="48"/>
      <c r="C218" s="48"/>
      <c r="D218" s="48"/>
      <c r="E218" s="48"/>
      <c r="F218" s="259"/>
      <c r="G218" s="48" t="s">
        <v>125</v>
      </c>
      <c r="H218" s="48">
        <f t="shared" si="1"/>
        <v>56</v>
      </c>
      <c r="I218" s="48">
        <v>16</v>
      </c>
      <c r="J218" s="48"/>
      <c r="K218" s="65"/>
      <c r="L218" s="98" t="s">
        <v>122</v>
      </c>
      <c r="M218" s="63"/>
    </row>
    <row r="219" s="213" customFormat="1" spans="1:13">
      <c r="A219" s="48"/>
      <c r="B219" s="48"/>
      <c r="C219" s="48"/>
      <c r="D219" s="48"/>
      <c r="E219" s="48"/>
      <c r="F219" s="259"/>
      <c r="G219" s="259" t="s">
        <v>120</v>
      </c>
      <c r="H219" s="48">
        <f t="shared" si="1"/>
        <v>72</v>
      </c>
      <c r="I219" s="48">
        <v>4</v>
      </c>
      <c r="J219" s="48"/>
      <c r="K219" s="65"/>
      <c r="L219" s="98"/>
      <c r="M219" s="63"/>
    </row>
    <row r="220" s="213" customFormat="1" spans="1:13">
      <c r="A220" s="48"/>
      <c r="B220" s="48"/>
      <c r="C220" s="48"/>
      <c r="D220" s="48"/>
      <c r="E220" s="48"/>
      <c r="F220" s="259"/>
      <c r="G220" s="48" t="s">
        <v>126</v>
      </c>
      <c r="H220" s="48">
        <f t="shared" si="1"/>
        <v>76</v>
      </c>
      <c r="I220" s="48">
        <v>16</v>
      </c>
      <c r="J220" s="48"/>
      <c r="K220" s="65"/>
      <c r="L220" s="98" t="s">
        <v>122</v>
      </c>
      <c r="M220" s="63"/>
    </row>
    <row r="221" s="213" customFormat="1" spans="1:13">
      <c r="A221" s="48"/>
      <c r="B221" s="48"/>
      <c r="C221" s="48"/>
      <c r="D221" s="48"/>
      <c r="E221" s="48"/>
      <c r="F221" s="259"/>
      <c r="G221" s="48" t="s">
        <v>127</v>
      </c>
      <c r="H221" s="48">
        <f t="shared" si="1"/>
        <v>92</v>
      </c>
      <c r="I221" s="48">
        <v>16</v>
      </c>
      <c r="J221" s="48"/>
      <c r="K221" s="65"/>
      <c r="L221" s="98" t="s">
        <v>122</v>
      </c>
      <c r="M221" s="63"/>
    </row>
    <row r="222" s="213" customFormat="1" spans="1:13">
      <c r="A222" s="48"/>
      <c r="B222" s="48"/>
      <c r="C222" s="48"/>
      <c r="D222" s="48"/>
      <c r="E222" s="48"/>
      <c r="F222" s="259"/>
      <c r="G222" s="48" t="s">
        <v>128</v>
      </c>
      <c r="H222" s="48">
        <f t="shared" si="1"/>
        <v>108</v>
      </c>
      <c r="I222" s="48">
        <v>16</v>
      </c>
      <c r="J222" s="48"/>
      <c r="K222" s="65"/>
      <c r="L222" s="98" t="s">
        <v>122</v>
      </c>
      <c r="M222" s="63"/>
    </row>
    <row r="223" s="213" customFormat="1" spans="1:13">
      <c r="A223" s="48"/>
      <c r="B223" s="48"/>
      <c r="C223" s="48"/>
      <c r="D223" s="48"/>
      <c r="E223" s="48"/>
      <c r="F223" s="259"/>
      <c r="G223" s="48" t="s">
        <v>129</v>
      </c>
      <c r="H223" s="48">
        <f t="shared" si="1"/>
        <v>124</v>
      </c>
      <c r="I223" s="48">
        <v>16</v>
      </c>
      <c r="J223" s="48"/>
      <c r="K223" s="65"/>
      <c r="L223" s="98" t="s">
        <v>122</v>
      </c>
      <c r="M223" s="63"/>
    </row>
    <row r="224" s="213" customFormat="1" spans="1:13">
      <c r="A224" s="48"/>
      <c r="B224" s="48"/>
      <c r="C224" s="48"/>
      <c r="D224" s="48"/>
      <c r="E224" s="48"/>
      <c r="F224" s="259"/>
      <c r="G224" s="259" t="s">
        <v>120</v>
      </c>
      <c r="H224" s="48">
        <f t="shared" si="1"/>
        <v>140</v>
      </c>
      <c r="I224" s="48">
        <v>4</v>
      </c>
      <c r="J224" s="48"/>
      <c r="K224" s="65"/>
      <c r="L224" s="98"/>
      <c r="M224" s="63"/>
    </row>
    <row r="225" s="213" customFormat="1" spans="1:13">
      <c r="A225" s="48"/>
      <c r="B225" s="48"/>
      <c r="C225" s="48"/>
      <c r="D225" s="48"/>
      <c r="E225" s="48"/>
      <c r="F225" s="259"/>
      <c r="G225" s="48" t="s">
        <v>130</v>
      </c>
      <c r="H225" s="48">
        <f t="shared" si="1"/>
        <v>144</v>
      </c>
      <c r="I225" s="48">
        <v>16</v>
      </c>
      <c r="J225" s="48"/>
      <c r="K225" s="65"/>
      <c r="L225" s="98" t="s">
        <v>122</v>
      </c>
      <c r="M225" s="63"/>
    </row>
    <row r="226" s="213" customFormat="1" spans="1:13">
      <c r="A226" s="48"/>
      <c r="B226" s="48"/>
      <c r="C226" s="48"/>
      <c r="D226" s="48"/>
      <c r="E226" s="48"/>
      <c r="F226" s="259"/>
      <c r="G226" s="48" t="s">
        <v>131</v>
      </c>
      <c r="H226" s="48">
        <f t="shared" si="1"/>
        <v>160</v>
      </c>
      <c r="I226" s="48">
        <v>16</v>
      </c>
      <c r="J226" s="48"/>
      <c r="K226" s="65"/>
      <c r="L226" s="98" t="s">
        <v>122</v>
      </c>
      <c r="M226" s="66"/>
    </row>
    <row r="227" s="213" customFormat="1" spans="1:13">
      <c r="A227" s="48" t="s">
        <v>115</v>
      </c>
      <c r="B227" s="48" t="s">
        <v>116</v>
      </c>
      <c r="C227" s="261" t="s">
        <v>136</v>
      </c>
      <c r="D227" s="261" t="s">
        <v>118</v>
      </c>
      <c r="E227" s="261">
        <v>7091</v>
      </c>
      <c r="F227" s="262" t="s">
        <v>137</v>
      </c>
      <c r="G227" s="263" t="s">
        <v>87</v>
      </c>
      <c r="H227" s="261">
        <v>0</v>
      </c>
      <c r="I227" s="261">
        <v>4</v>
      </c>
      <c r="J227" s="261" t="s">
        <v>119</v>
      </c>
      <c r="K227" s="264">
        <v>100</v>
      </c>
      <c r="L227" s="265"/>
      <c r="M227" s="266">
        <v>1602201</v>
      </c>
    </row>
    <row r="228" s="213" customFormat="1" spans="1:13">
      <c r="A228" s="48"/>
      <c r="B228" s="48"/>
      <c r="C228" s="261"/>
      <c r="D228" s="261"/>
      <c r="E228" s="261"/>
      <c r="F228" s="262"/>
      <c r="G228" s="262" t="s">
        <v>120</v>
      </c>
      <c r="H228" s="261">
        <v>4</v>
      </c>
      <c r="I228" s="261">
        <v>4</v>
      </c>
      <c r="J228" s="261"/>
      <c r="K228" s="264"/>
      <c r="L228" s="265"/>
      <c r="M228" s="267"/>
    </row>
    <row r="229" s="213" customFormat="1" spans="1:13">
      <c r="A229" s="48"/>
      <c r="B229" s="48"/>
      <c r="C229" s="261"/>
      <c r="D229" s="261"/>
      <c r="E229" s="261"/>
      <c r="F229" s="262"/>
      <c r="G229" s="261" t="s">
        <v>138</v>
      </c>
      <c r="H229" s="261">
        <v>8</v>
      </c>
      <c r="I229" s="261">
        <v>16</v>
      </c>
      <c r="J229" s="261"/>
      <c r="K229" s="264"/>
      <c r="L229" s="265" t="s">
        <v>122</v>
      </c>
      <c r="M229" s="267"/>
    </row>
    <row r="230" s="213" customFormat="1" spans="1:13">
      <c r="A230" s="48"/>
      <c r="B230" s="48"/>
      <c r="C230" s="261"/>
      <c r="D230" s="261"/>
      <c r="E230" s="261"/>
      <c r="F230" s="262"/>
      <c r="G230" s="261" t="s">
        <v>139</v>
      </c>
      <c r="H230" s="261">
        <f t="shared" ref="H230:H240" si="2">H229+I229</f>
        <v>24</v>
      </c>
      <c r="I230" s="261">
        <v>16</v>
      </c>
      <c r="J230" s="261"/>
      <c r="K230" s="264"/>
      <c r="L230" s="265" t="s">
        <v>122</v>
      </c>
      <c r="M230" s="267"/>
    </row>
    <row r="231" s="213" customFormat="1" spans="1:13">
      <c r="A231" s="48"/>
      <c r="B231" s="48"/>
      <c r="C231" s="261"/>
      <c r="D231" s="261"/>
      <c r="E231" s="261"/>
      <c r="F231" s="262"/>
      <c r="G231" s="261" t="s">
        <v>140</v>
      </c>
      <c r="H231" s="261">
        <f t="shared" si="2"/>
        <v>40</v>
      </c>
      <c r="I231" s="261">
        <v>16</v>
      </c>
      <c r="J231" s="261"/>
      <c r="K231" s="264"/>
      <c r="L231" s="265" t="s">
        <v>122</v>
      </c>
      <c r="M231" s="267"/>
    </row>
    <row r="232" s="213" customFormat="1" spans="1:13">
      <c r="A232" s="48"/>
      <c r="B232" s="48"/>
      <c r="C232" s="261"/>
      <c r="D232" s="261"/>
      <c r="E232" s="261"/>
      <c r="F232" s="262"/>
      <c r="G232" s="261" t="s">
        <v>141</v>
      </c>
      <c r="H232" s="261">
        <f t="shared" si="2"/>
        <v>56</v>
      </c>
      <c r="I232" s="261">
        <v>16</v>
      </c>
      <c r="J232" s="261"/>
      <c r="K232" s="264"/>
      <c r="L232" s="265" t="s">
        <v>122</v>
      </c>
      <c r="M232" s="267"/>
    </row>
    <row r="233" s="213" customFormat="1" spans="1:13">
      <c r="A233" s="48"/>
      <c r="B233" s="48"/>
      <c r="C233" s="261"/>
      <c r="D233" s="261"/>
      <c r="E233" s="261"/>
      <c r="F233" s="262"/>
      <c r="G233" s="263" t="s">
        <v>88</v>
      </c>
      <c r="H233" s="261">
        <f t="shared" si="2"/>
        <v>72</v>
      </c>
      <c r="I233" s="261">
        <v>4</v>
      </c>
      <c r="J233" s="261"/>
      <c r="K233" s="264"/>
      <c r="L233" s="265"/>
      <c r="M233" s="267"/>
    </row>
    <row r="234" s="213" customFormat="1" spans="1:13">
      <c r="A234" s="48"/>
      <c r="B234" s="48"/>
      <c r="C234" s="261"/>
      <c r="D234" s="261"/>
      <c r="E234" s="261"/>
      <c r="F234" s="262"/>
      <c r="G234" s="261" t="s">
        <v>142</v>
      </c>
      <c r="H234" s="261">
        <f t="shared" si="2"/>
        <v>76</v>
      </c>
      <c r="I234" s="261">
        <v>16</v>
      </c>
      <c r="J234" s="261"/>
      <c r="K234" s="264"/>
      <c r="L234" s="265" t="s">
        <v>122</v>
      </c>
      <c r="M234" s="267"/>
    </row>
    <row r="235" s="213" customFormat="1" spans="1:13">
      <c r="A235" s="48"/>
      <c r="B235" s="48"/>
      <c r="C235" s="261"/>
      <c r="D235" s="261"/>
      <c r="E235" s="261"/>
      <c r="F235" s="262"/>
      <c r="G235" s="261" t="s">
        <v>143</v>
      </c>
      <c r="H235" s="261">
        <f t="shared" si="2"/>
        <v>92</v>
      </c>
      <c r="I235" s="261">
        <v>16</v>
      </c>
      <c r="J235" s="261"/>
      <c r="K235" s="264"/>
      <c r="L235" s="265" t="s">
        <v>122</v>
      </c>
      <c r="M235" s="267"/>
    </row>
    <row r="236" s="213" customFormat="1" spans="1:13">
      <c r="A236" s="48"/>
      <c r="B236" s="48"/>
      <c r="C236" s="261"/>
      <c r="D236" s="261"/>
      <c r="E236" s="261"/>
      <c r="F236" s="262"/>
      <c r="G236" s="261" t="s">
        <v>144</v>
      </c>
      <c r="H236" s="261">
        <f t="shared" si="2"/>
        <v>108</v>
      </c>
      <c r="I236" s="261">
        <v>16</v>
      </c>
      <c r="J236" s="261"/>
      <c r="K236" s="264"/>
      <c r="L236" s="265" t="s">
        <v>122</v>
      </c>
      <c r="M236" s="267"/>
    </row>
    <row r="237" s="213" customFormat="1" spans="1:13">
      <c r="A237" s="48"/>
      <c r="B237" s="48"/>
      <c r="C237" s="261"/>
      <c r="D237" s="261"/>
      <c r="E237" s="261"/>
      <c r="F237" s="262"/>
      <c r="G237" s="261" t="s">
        <v>145</v>
      </c>
      <c r="H237" s="261">
        <f t="shared" si="2"/>
        <v>124</v>
      </c>
      <c r="I237" s="261">
        <v>16</v>
      </c>
      <c r="J237" s="261"/>
      <c r="K237" s="264"/>
      <c r="L237" s="265" t="s">
        <v>122</v>
      </c>
      <c r="M237" s="267"/>
    </row>
    <row r="238" s="213" customFormat="1" spans="1:13">
      <c r="A238" s="48"/>
      <c r="B238" s="48"/>
      <c r="C238" s="261"/>
      <c r="D238" s="261"/>
      <c r="E238" s="261"/>
      <c r="F238" s="262"/>
      <c r="G238" s="262" t="s">
        <v>120</v>
      </c>
      <c r="H238" s="261">
        <f t="shared" si="2"/>
        <v>140</v>
      </c>
      <c r="I238" s="261">
        <v>4</v>
      </c>
      <c r="J238" s="261"/>
      <c r="K238" s="264"/>
      <c r="L238" s="265"/>
      <c r="M238" s="267"/>
    </row>
    <row r="239" s="213" customFormat="1" spans="1:13">
      <c r="A239" s="48"/>
      <c r="B239" s="48"/>
      <c r="C239" s="261"/>
      <c r="D239" s="261"/>
      <c r="E239" s="261"/>
      <c r="F239" s="262"/>
      <c r="G239" s="261" t="s">
        <v>146</v>
      </c>
      <c r="H239" s="261">
        <f t="shared" si="2"/>
        <v>144</v>
      </c>
      <c r="I239" s="261">
        <v>16</v>
      </c>
      <c r="J239" s="261"/>
      <c r="K239" s="264"/>
      <c r="L239" s="265" t="s">
        <v>122</v>
      </c>
      <c r="M239" s="267"/>
    </row>
    <row r="240" s="213" customFormat="1" spans="1:13">
      <c r="A240" s="48"/>
      <c r="B240" s="48"/>
      <c r="C240" s="261"/>
      <c r="D240" s="261"/>
      <c r="E240" s="261"/>
      <c r="F240" s="262"/>
      <c r="G240" s="261" t="s">
        <v>147</v>
      </c>
      <c r="H240" s="261">
        <f t="shared" ref="H240:H246" si="3">H239+I239</f>
        <v>160</v>
      </c>
      <c r="I240" s="261">
        <v>16</v>
      </c>
      <c r="J240" s="261"/>
      <c r="K240" s="264"/>
      <c r="L240" s="265" t="s">
        <v>122</v>
      </c>
      <c r="M240" s="267"/>
    </row>
    <row r="241" s="213" customFormat="1" spans="1:13">
      <c r="A241" s="48"/>
      <c r="B241" s="48"/>
      <c r="C241" s="261"/>
      <c r="D241" s="261"/>
      <c r="E241" s="261"/>
      <c r="F241" s="262"/>
      <c r="G241" s="261" t="s">
        <v>148</v>
      </c>
      <c r="H241" s="261">
        <f t="shared" si="3"/>
        <v>176</v>
      </c>
      <c r="I241" s="261">
        <v>16</v>
      </c>
      <c r="J241" s="261"/>
      <c r="K241" s="264"/>
      <c r="L241" s="265" t="s">
        <v>122</v>
      </c>
      <c r="M241" s="267"/>
    </row>
    <row r="242" s="213" customFormat="1" spans="1:13">
      <c r="A242" s="48"/>
      <c r="B242" s="48"/>
      <c r="C242" s="261"/>
      <c r="D242" s="261"/>
      <c r="E242" s="261"/>
      <c r="F242" s="262"/>
      <c r="G242" s="261" t="s">
        <v>149</v>
      </c>
      <c r="H242" s="261">
        <f t="shared" si="3"/>
        <v>192</v>
      </c>
      <c r="I242" s="261">
        <v>16</v>
      </c>
      <c r="J242" s="261"/>
      <c r="K242" s="264"/>
      <c r="L242" s="265" t="s">
        <v>122</v>
      </c>
      <c r="M242" s="267"/>
    </row>
    <row r="243" s="213" customFormat="1" spans="1:13">
      <c r="A243" s="48"/>
      <c r="B243" s="48"/>
      <c r="C243" s="261"/>
      <c r="D243" s="261"/>
      <c r="E243" s="261"/>
      <c r="F243" s="262"/>
      <c r="G243" s="262" t="s">
        <v>120</v>
      </c>
      <c r="H243" s="261">
        <f t="shared" si="3"/>
        <v>208</v>
      </c>
      <c r="I243" s="261">
        <v>4</v>
      </c>
      <c r="J243" s="261"/>
      <c r="K243" s="264"/>
      <c r="L243" s="265"/>
      <c r="M243" s="267"/>
    </row>
    <row r="244" s="213" customFormat="1" spans="1:13">
      <c r="A244" s="48"/>
      <c r="B244" s="48"/>
      <c r="C244" s="261"/>
      <c r="D244" s="261"/>
      <c r="E244" s="261"/>
      <c r="F244" s="262"/>
      <c r="G244" s="261" t="s">
        <v>150</v>
      </c>
      <c r="H244" s="261">
        <f t="shared" si="3"/>
        <v>212</v>
      </c>
      <c r="I244" s="261">
        <v>16</v>
      </c>
      <c r="J244" s="261"/>
      <c r="K244" s="264"/>
      <c r="L244" s="265" t="s">
        <v>122</v>
      </c>
      <c r="M244" s="267"/>
    </row>
    <row r="245" s="213" customFormat="1" spans="1:13">
      <c r="A245" s="48"/>
      <c r="B245" s="48"/>
      <c r="C245" s="261"/>
      <c r="D245" s="261"/>
      <c r="E245" s="261"/>
      <c r="F245" s="262"/>
      <c r="G245" s="261" t="s">
        <v>151</v>
      </c>
      <c r="H245" s="261">
        <f t="shared" si="3"/>
        <v>228</v>
      </c>
      <c r="I245" s="261">
        <v>16</v>
      </c>
      <c r="J245" s="261"/>
      <c r="K245" s="264"/>
      <c r="L245" s="265" t="s">
        <v>122</v>
      </c>
      <c r="M245" s="267"/>
    </row>
    <row r="246" s="213" customFormat="1" spans="1:13">
      <c r="A246" s="48"/>
      <c r="B246" s="48"/>
      <c r="C246" s="261"/>
      <c r="D246" s="261"/>
      <c r="E246" s="261"/>
      <c r="F246" s="262"/>
      <c r="G246" s="261" t="s">
        <v>152</v>
      </c>
      <c r="H246" s="261">
        <f t="shared" si="3"/>
        <v>244</v>
      </c>
      <c r="I246" s="261">
        <v>16</v>
      </c>
      <c r="J246" s="261"/>
      <c r="K246" s="264"/>
      <c r="L246" s="265" t="s">
        <v>122</v>
      </c>
      <c r="M246" s="268"/>
    </row>
    <row r="247" s="213" customFormat="1" spans="1:13">
      <c r="A247" s="48" t="s">
        <v>115</v>
      </c>
      <c r="B247" s="48" t="s">
        <v>116</v>
      </c>
      <c r="C247" s="261" t="s">
        <v>136</v>
      </c>
      <c r="D247" s="261" t="s">
        <v>133</v>
      </c>
      <c r="E247" s="261">
        <v>7092</v>
      </c>
      <c r="F247" s="262" t="s">
        <v>137</v>
      </c>
      <c r="G247" s="263" t="s">
        <v>87</v>
      </c>
      <c r="H247" s="261">
        <v>0</v>
      </c>
      <c r="I247" s="261">
        <v>4</v>
      </c>
      <c r="J247" s="261" t="s">
        <v>135</v>
      </c>
      <c r="K247" s="264">
        <v>100</v>
      </c>
      <c r="L247" s="265"/>
      <c r="M247" s="266">
        <v>1502201</v>
      </c>
    </row>
    <row r="248" s="213" customFormat="1" spans="1:13">
      <c r="A248" s="48"/>
      <c r="B248" s="48"/>
      <c r="C248" s="261"/>
      <c r="D248" s="261"/>
      <c r="E248" s="261"/>
      <c r="F248" s="262"/>
      <c r="G248" s="262" t="s">
        <v>120</v>
      </c>
      <c r="H248" s="261">
        <v>4</v>
      </c>
      <c r="I248" s="261">
        <v>4</v>
      </c>
      <c r="J248" s="261"/>
      <c r="K248" s="264"/>
      <c r="L248" s="265"/>
      <c r="M248" s="267"/>
    </row>
    <row r="249" s="213" customFormat="1" spans="1:13">
      <c r="A249" s="48"/>
      <c r="B249" s="48"/>
      <c r="C249" s="261"/>
      <c r="D249" s="261"/>
      <c r="E249" s="261"/>
      <c r="F249" s="262"/>
      <c r="G249" s="261" t="s">
        <v>138</v>
      </c>
      <c r="H249" s="261">
        <v>8</v>
      </c>
      <c r="I249" s="261">
        <v>16</v>
      </c>
      <c r="J249" s="261"/>
      <c r="K249" s="264"/>
      <c r="L249" s="265" t="s">
        <v>122</v>
      </c>
      <c r="M249" s="267"/>
    </row>
    <row r="250" s="213" customFormat="1" spans="1:13">
      <c r="A250" s="48"/>
      <c r="B250" s="48"/>
      <c r="C250" s="261"/>
      <c r="D250" s="261"/>
      <c r="E250" s="261"/>
      <c r="F250" s="262"/>
      <c r="G250" s="261" t="s">
        <v>139</v>
      </c>
      <c r="H250" s="261">
        <f t="shared" ref="H250:H266" si="4">H249+I249</f>
        <v>24</v>
      </c>
      <c r="I250" s="261">
        <v>16</v>
      </c>
      <c r="J250" s="261"/>
      <c r="K250" s="264"/>
      <c r="L250" s="265" t="s">
        <v>122</v>
      </c>
      <c r="M250" s="267"/>
    </row>
    <row r="251" s="213" customFormat="1" spans="1:13">
      <c r="A251" s="48"/>
      <c r="B251" s="48"/>
      <c r="C251" s="261"/>
      <c r="D251" s="261"/>
      <c r="E251" s="261"/>
      <c r="F251" s="262"/>
      <c r="G251" s="261" t="s">
        <v>140</v>
      </c>
      <c r="H251" s="261">
        <f t="shared" si="4"/>
        <v>40</v>
      </c>
      <c r="I251" s="261">
        <v>16</v>
      </c>
      <c r="J251" s="261"/>
      <c r="K251" s="264"/>
      <c r="L251" s="265" t="s">
        <v>122</v>
      </c>
      <c r="M251" s="267"/>
    </row>
    <row r="252" s="213" customFormat="1" spans="1:13">
      <c r="A252" s="48"/>
      <c r="B252" s="48"/>
      <c r="C252" s="261"/>
      <c r="D252" s="261"/>
      <c r="E252" s="261"/>
      <c r="F252" s="262"/>
      <c r="G252" s="261" t="s">
        <v>141</v>
      </c>
      <c r="H252" s="261">
        <f t="shared" si="4"/>
        <v>56</v>
      </c>
      <c r="I252" s="261">
        <v>16</v>
      </c>
      <c r="J252" s="261"/>
      <c r="K252" s="264"/>
      <c r="L252" s="265" t="s">
        <v>122</v>
      </c>
      <c r="M252" s="267"/>
    </row>
    <row r="253" s="213" customFormat="1" spans="1:13">
      <c r="A253" s="48"/>
      <c r="B253" s="48"/>
      <c r="C253" s="261"/>
      <c r="D253" s="261"/>
      <c r="E253" s="261"/>
      <c r="F253" s="262"/>
      <c r="G253" s="263" t="s">
        <v>88</v>
      </c>
      <c r="H253" s="261">
        <f t="shared" si="4"/>
        <v>72</v>
      </c>
      <c r="I253" s="261">
        <v>4</v>
      </c>
      <c r="J253" s="261"/>
      <c r="K253" s="264"/>
      <c r="L253" s="265"/>
      <c r="M253" s="267"/>
    </row>
    <row r="254" s="213" customFormat="1" spans="1:13">
      <c r="A254" s="48"/>
      <c r="B254" s="48"/>
      <c r="C254" s="261"/>
      <c r="D254" s="261"/>
      <c r="E254" s="261"/>
      <c r="F254" s="262"/>
      <c r="G254" s="261" t="s">
        <v>142</v>
      </c>
      <c r="H254" s="261">
        <f t="shared" si="4"/>
        <v>76</v>
      </c>
      <c r="I254" s="261">
        <v>16</v>
      </c>
      <c r="J254" s="261"/>
      <c r="K254" s="264"/>
      <c r="L254" s="265" t="s">
        <v>122</v>
      </c>
      <c r="M254" s="267"/>
    </row>
    <row r="255" s="213" customFormat="1" spans="1:13">
      <c r="A255" s="48"/>
      <c r="B255" s="48"/>
      <c r="C255" s="261"/>
      <c r="D255" s="261"/>
      <c r="E255" s="261"/>
      <c r="F255" s="262"/>
      <c r="G255" s="261" t="s">
        <v>143</v>
      </c>
      <c r="H255" s="261">
        <f t="shared" si="4"/>
        <v>92</v>
      </c>
      <c r="I255" s="261">
        <v>16</v>
      </c>
      <c r="J255" s="261"/>
      <c r="K255" s="264"/>
      <c r="L255" s="265" t="s">
        <v>122</v>
      </c>
      <c r="M255" s="267"/>
    </row>
    <row r="256" s="213" customFormat="1" spans="1:13">
      <c r="A256" s="48"/>
      <c r="B256" s="48"/>
      <c r="C256" s="261"/>
      <c r="D256" s="261"/>
      <c r="E256" s="261"/>
      <c r="F256" s="262"/>
      <c r="G256" s="261" t="s">
        <v>144</v>
      </c>
      <c r="H256" s="261">
        <f t="shared" si="4"/>
        <v>108</v>
      </c>
      <c r="I256" s="261">
        <v>16</v>
      </c>
      <c r="J256" s="261"/>
      <c r="K256" s="264"/>
      <c r="L256" s="265" t="s">
        <v>122</v>
      </c>
      <c r="M256" s="267"/>
    </row>
    <row r="257" s="213" customFormat="1" spans="1:13">
      <c r="A257" s="48"/>
      <c r="B257" s="48"/>
      <c r="C257" s="261"/>
      <c r="D257" s="261"/>
      <c r="E257" s="261"/>
      <c r="F257" s="262"/>
      <c r="G257" s="261" t="s">
        <v>145</v>
      </c>
      <c r="H257" s="261">
        <f t="shared" si="4"/>
        <v>124</v>
      </c>
      <c r="I257" s="261">
        <v>16</v>
      </c>
      <c r="J257" s="261"/>
      <c r="K257" s="264"/>
      <c r="L257" s="265" t="s">
        <v>122</v>
      </c>
      <c r="M257" s="267"/>
    </row>
    <row r="258" s="213" customFormat="1" spans="1:13">
      <c r="A258" s="48"/>
      <c r="B258" s="48"/>
      <c r="C258" s="261"/>
      <c r="D258" s="261"/>
      <c r="E258" s="261"/>
      <c r="F258" s="262"/>
      <c r="G258" s="262" t="s">
        <v>120</v>
      </c>
      <c r="H258" s="261">
        <f t="shared" si="4"/>
        <v>140</v>
      </c>
      <c r="I258" s="261">
        <v>4</v>
      </c>
      <c r="J258" s="261"/>
      <c r="K258" s="264"/>
      <c r="L258" s="265"/>
      <c r="M258" s="267"/>
    </row>
    <row r="259" s="213" customFormat="1" spans="1:13">
      <c r="A259" s="48"/>
      <c r="B259" s="48"/>
      <c r="C259" s="261"/>
      <c r="D259" s="261"/>
      <c r="E259" s="261"/>
      <c r="F259" s="262"/>
      <c r="G259" s="261" t="s">
        <v>146</v>
      </c>
      <c r="H259" s="261">
        <f t="shared" si="4"/>
        <v>144</v>
      </c>
      <c r="I259" s="261">
        <v>16</v>
      </c>
      <c r="J259" s="261"/>
      <c r="K259" s="264"/>
      <c r="L259" s="265" t="s">
        <v>122</v>
      </c>
      <c r="M259" s="267"/>
    </row>
    <row r="260" s="213" customFormat="1" spans="1:13">
      <c r="A260" s="48"/>
      <c r="B260" s="48"/>
      <c r="C260" s="261"/>
      <c r="D260" s="261"/>
      <c r="E260" s="261"/>
      <c r="F260" s="262"/>
      <c r="G260" s="261" t="s">
        <v>147</v>
      </c>
      <c r="H260" s="261">
        <f t="shared" si="4"/>
        <v>160</v>
      </c>
      <c r="I260" s="261">
        <v>16</v>
      </c>
      <c r="J260" s="261"/>
      <c r="K260" s="264"/>
      <c r="L260" s="265" t="s">
        <v>122</v>
      </c>
      <c r="M260" s="267"/>
    </row>
    <row r="261" s="213" customFormat="1" spans="1:13">
      <c r="A261" s="48"/>
      <c r="B261" s="48"/>
      <c r="C261" s="261"/>
      <c r="D261" s="261"/>
      <c r="E261" s="261"/>
      <c r="F261" s="262"/>
      <c r="G261" s="261" t="s">
        <v>148</v>
      </c>
      <c r="H261" s="261">
        <f t="shared" si="4"/>
        <v>176</v>
      </c>
      <c r="I261" s="261">
        <v>16</v>
      </c>
      <c r="J261" s="261"/>
      <c r="K261" s="264"/>
      <c r="L261" s="265" t="s">
        <v>122</v>
      </c>
      <c r="M261" s="267"/>
    </row>
    <row r="262" s="213" customFormat="1" spans="1:13">
      <c r="A262" s="48"/>
      <c r="B262" s="48"/>
      <c r="C262" s="261"/>
      <c r="D262" s="261"/>
      <c r="E262" s="261"/>
      <c r="F262" s="262"/>
      <c r="G262" s="261" t="s">
        <v>149</v>
      </c>
      <c r="H262" s="261">
        <f t="shared" si="4"/>
        <v>192</v>
      </c>
      <c r="I262" s="261">
        <v>16</v>
      </c>
      <c r="J262" s="261"/>
      <c r="K262" s="264"/>
      <c r="L262" s="265" t="s">
        <v>122</v>
      </c>
      <c r="M262" s="267"/>
    </row>
    <row r="263" s="213" customFormat="1" spans="1:13">
      <c r="A263" s="48"/>
      <c r="B263" s="48"/>
      <c r="C263" s="261"/>
      <c r="D263" s="261"/>
      <c r="E263" s="261"/>
      <c r="F263" s="262"/>
      <c r="G263" s="262" t="s">
        <v>120</v>
      </c>
      <c r="H263" s="261">
        <f t="shared" si="4"/>
        <v>208</v>
      </c>
      <c r="I263" s="261">
        <v>4</v>
      </c>
      <c r="J263" s="261"/>
      <c r="K263" s="264"/>
      <c r="L263" s="265"/>
      <c r="M263" s="267"/>
    </row>
    <row r="264" s="213" customFormat="1" spans="1:13">
      <c r="A264" s="48"/>
      <c r="B264" s="48"/>
      <c r="C264" s="261"/>
      <c r="D264" s="261"/>
      <c r="E264" s="261"/>
      <c r="F264" s="262"/>
      <c r="G264" s="261" t="s">
        <v>150</v>
      </c>
      <c r="H264" s="261">
        <f t="shared" si="4"/>
        <v>212</v>
      </c>
      <c r="I264" s="261">
        <v>16</v>
      </c>
      <c r="J264" s="261"/>
      <c r="K264" s="264"/>
      <c r="L264" s="265" t="s">
        <v>122</v>
      </c>
      <c r="M264" s="267"/>
    </row>
    <row r="265" s="213" customFormat="1" spans="1:13">
      <c r="A265" s="48"/>
      <c r="B265" s="48"/>
      <c r="C265" s="261"/>
      <c r="D265" s="261"/>
      <c r="E265" s="261"/>
      <c r="F265" s="262"/>
      <c r="G265" s="261" t="s">
        <v>151</v>
      </c>
      <c r="H265" s="261">
        <f t="shared" si="4"/>
        <v>228</v>
      </c>
      <c r="I265" s="261">
        <v>16</v>
      </c>
      <c r="J265" s="261"/>
      <c r="K265" s="264"/>
      <c r="L265" s="265" t="s">
        <v>122</v>
      </c>
      <c r="M265" s="267"/>
    </row>
    <row r="266" s="213" customFormat="1" spans="1:13">
      <c r="A266" s="48"/>
      <c r="B266" s="48"/>
      <c r="C266" s="261"/>
      <c r="D266" s="261"/>
      <c r="E266" s="261"/>
      <c r="F266" s="262"/>
      <c r="G266" s="261" t="s">
        <v>152</v>
      </c>
      <c r="H266" s="261">
        <f t="shared" si="4"/>
        <v>244</v>
      </c>
      <c r="I266" s="261">
        <v>16</v>
      </c>
      <c r="J266" s="261"/>
      <c r="K266" s="264"/>
      <c r="L266" s="265" t="s">
        <v>122</v>
      </c>
      <c r="M266" s="268"/>
    </row>
    <row r="267" s="213" customFormat="1" spans="1:13">
      <c r="A267" s="48" t="s">
        <v>115</v>
      </c>
      <c r="B267" s="48" t="s">
        <v>116</v>
      </c>
      <c r="C267" s="48" t="s">
        <v>117</v>
      </c>
      <c r="D267" s="48" t="s">
        <v>118</v>
      </c>
      <c r="E267" s="48">
        <v>7093</v>
      </c>
      <c r="F267" s="259" t="s">
        <v>137</v>
      </c>
      <c r="G267" s="260" t="s">
        <v>87</v>
      </c>
      <c r="H267" s="48">
        <v>0</v>
      </c>
      <c r="I267" s="48">
        <v>4</v>
      </c>
      <c r="J267" s="48" t="s">
        <v>119</v>
      </c>
      <c r="K267" s="65">
        <v>100</v>
      </c>
      <c r="L267" s="98"/>
      <c r="M267" s="61">
        <v>1602201</v>
      </c>
    </row>
    <row r="268" s="213" customFormat="1" spans="1:13">
      <c r="A268" s="48"/>
      <c r="B268" s="48"/>
      <c r="C268" s="48"/>
      <c r="D268" s="48"/>
      <c r="E268" s="48"/>
      <c r="F268" s="259"/>
      <c r="G268" s="259" t="s">
        <v>120</v>
      </c>
      <c r="H268" s="48">
        <v>4</v>
      </c>
      <c r="I268" s="48">
        <v>4</v>
      </c>
      <c r="J268" s="48"/>
      <c r="K268" s="65"/>
      <c r="L268" s="98"/>
      <c r="M268" s="63"/>
    </row>
    <row r="269" s="213" customFormat="1" spans="1:13">
      <c r="A269" s="48"/>
      <c r="B269" s="48"/>
      <c r="C269" s="48"/>
      <c r="D269" s="48"/>
      <c r="E269" s="48"/>
      <c r="F269" s="259"/>
      <c r="G269" s="48" t="s">
        <v>153</v>
      </c>
      <c r="H269" s="48">
        <v>8</v>
      </c>
      <c r="I269" s="48">
        <v>16</v>
      </c>
      <c r="J269" s="48"/>
      <c r="K269" s="65"/>
      <c r="L269" s="98" t="s">
        <v>122</v>
      </c>
      <c r="M269" s="63"/>
    </row>
    <row r="270" s="213" customFormat="1" spans="1:13">
      <c r="A270" s="48"/>
      <c r="B270" s="48"/>
      <c r="C270" s="48"/>
      <c r="D270" s="48"/>
      <c r="E270" s="48"/>
      <c r="F270" s="259"/>
      <c r="G270" s="48" t="s">
        <v>154</v>
      </c>
      <c r="H270" s="48">
        <f>H269+I269</f>
        <v>24</v>
      </c>
      <c r="I270" s="48">
        <v>16</v>
      </c>
      <c r="J270" s="48"/>
      <c r="K270" s="65"/>
      <c r="L270" s="98" t="s">
        <v>122</v>
      </c>
      <c r="M270" s="63"/>
    </row>
    <row r="271" s="213" customFormat="1" spans="1:13">
      <c r="A271" s="48"/>
      <c r="B271" s="48"/>
      <c r="C271" s="48"/>
      <c r="D271" s="48"/>
      <c r="E271" s="48"/>
      <c r="F271" s="259"/>
      <c r="G271" s="48" t="s">
        <v>155</v>
      </c>
      <c r="H271" s="48">
        <f t="shared" ref="H271:H305" si="5">H270+I270</f>
        <v>40</v>
      </c>
      <c r="I271" s="48">
        <v>16</v>
      </c>
      <c r="J271" s="48"/>
      <c r="K271" s="65"/>
      <c r="L271" s="98" t="s">
        <v>122</v>
      </c>
      <c r="M271" s="63"/>
    </row>
    <row r="272" s="213" customFormat="1" spans="1:13">
      <c r="A272" s="48"/>
      <c r="B272" s="48"/>
      <c r="C272" s="48"/>
      <c r="D272" s="48"/>
      <c r="E272" s="48"/>
      <c r="F272" s="259"/>
      <c r="G272" s="48" t="s">
        <v>156</v>
      </c>
      <c r="H272" s="48">
        <f t="shared" si="5"/>
        <v>56</v>
      </c>
      <c r="I272" s="48">
        <v>16</v>
      </c>
      <c r="J272" s="48"/>
      <c r="K272" s="65"/>
      <c r="L272" s="98" t="s">
        <v>122</v>
      </c>
      <c r="M272" s="63"/>
    </row>
    <row r="273" s="213" customFormat="1" spans="1:13">
      <c r="A273" s="48"/>
      <c r="B273" s="48"/>
      <c r="C273" s="48"/>
      <c r="D273" s="48"/>
      <c r="E273" s="48"/>
      <c r="F273" s="259"/>
      <c r="G273" s="259" t="s">
        <v>120</v>
      </c>
      <c r="H273" s="48">
        <f t="shared" si="5"/>
        <v>72</v>
      </c>
      <c r="I273" s="48">
        <v>4</v>
      </c>
      <c r="J273" s="48"/>
      <c r="K273" s="65"/>
      <c r="L273" s="98"/>
      <c r="M273" s="63"/>
    </row>
    <row r="274" s="213" customFormat="1" spans="1:13">
      <c r="A274" s="48"/>
      <c r="B274" s="48"/>
      <c r="C274" s="48"/>
      <c r="D274" s="48"/>
      <c r="E274" s="48"/>
      <c r="F274" s="259"/>
      <c r="G274" s="48" t="s">
        <v>157</v>
      </c>
      <c r="H274" s="48">
        <f t="shared" si="5"/>
        <v>76</v>
      </c>
      <c r="I274" s="48">
        <v>16</v>
      </c>
      <c r="J274" s="48"/>
      <c r="K274" s="65"/>
      <c r="L274" s="98" t="s">
        <v>122</v>
      </c>
      <c r="M274" s="63"/>
    </row>
    <row r="275" s="213" customFormat="1" spans="1:13">
      <c r="A275" s="48"/>
      <c r="B275" s="48"/>
      <c r="C275" s="48"/>
      <c r="D275" s="48"/>
      <c r="E275" s="48"/>
      <c r="F275" s="259"/>
      <c r="G275" s="48" t="s">
        <v>158</v>
      </c>
      <c r="H275" s="48">
        <f t="shared" si="5"/>
        <v>92</v>
      </c>
      <c r="I275" s="48">
        <v>16</v>
      </c>
      <c r="J275" s="48"/>
      <c r="K275" s="65"/>
      <c r="L275" s="98" t="s">
        <v>122</v>
      </c>
      <c r="M275" s="63"/>
    </row>
    <row r="276" s="213" customFormat="1" spans="1:13">
      <c r="A276" s="48"/>
      <c r="B276" s="48"/>
      <c r="C276" s="48"/>
      <c r="D276" s="48"/>
      <c r="E276" s="48"/>
      <c r="F276" s="259"/>
      <c r="G276" s="48" t="s">
        <v>159</v>
      </c>
      <c r="H276" s="48">
        <f t="shared" si="5"/>
        <v>108</v>
      </c>
      <c r="I276" s="48">
        <v>16</v>
      </c>
      <c r="J276" s="48"/>
      <c r="K276" s="65"/>
      <c r="L276" s="98" t="s">
        <v>122</v>
      </c>
      <c r="M276" s="63"/>
    </row>
    <row r="277" s="213" customFormat="1" spans="1:13">
      <c r="A277" s="48"/>
      <c r="B277" s="48"/>
      <c r="C277" s="48"/>
      <c r="D277" s="48"/>
      <c r="E277" s="48"/>
      <c r="F277" s="259"/>
      <c r="G277" s="48" t="s">
        <v>160</v>
      </c>
      <c r="H277" s="48">
        <f t="shared" si="5"/>
        <v>124</v>
      </c>
      <c r="I277" s="48">
        <v>16</v>
      </c>
      <c r="J277" s="48"/>
      <c r="K277" s="65"/>
      <c r="L277" s="98" t="s">
        <v>122</v>
      </c>
      <c r="M277" s="63"/>
    </row>
    <row r="278" s="213" customFormat="1" spans="1:13">
      <c r="A278" s="48"/>
      <c r="B278" s="48"/>
      <c r="C278" s="48"/>
      <c r="D278" s="48"/>
      <c r="E278" s="48"/>
      <c r="F278" s="259"/>
      <c r="G278" s="259" t="s">
        <v>120</v>
      </c>
      <c r="H278" s="48">
        <f t="shared" si="5"/>
        <v>140</v>
      </c>
      <c r="I278" s="48">
        <v>4</v>
      </c>
      <c r="J278" s="48"/>
      <c r="K278" s="65"/>
      <c r="L278" s="98"/>
      <c r="M278" s="63"/>
    </row>
    <row r="279" s="213" customFormat="1" spans="1:13">
      <c r="A279" s="48"/>
      <c r="B279" s="48"/>
      <c r="C279" s="48"/>
      <c r="D279" s="48"/>
      <c r="E279" s="48"/>
      <c r="F279" s="259"/>
      <c r="G279" s="48" t="s">
        <v>161</v>
      </c>
      <c r="H279" s="48">
        <f t="shared" si="5"/>
        <v>144</v>
      </c>
      <c r="I279" s="48">
        <v>16</v>
      </c>
      <c r="J279" s="48"/>
      <c r="K279" s="65"/>
      <c r="L279" s="98" t="s">
        <v>122</v>
      </c>
      <c r="M279" s="63"/>
    </row>
    <row r="280" s="213" customFormat="1" spans="1:13">
      <c r="A280" s="48"/>
      <c r="B280" s="48"/>
      <c r="C280" s="48"/>
      <c r="D280" s="48"/>
      <c r="E280" s="48"/>
      <c r="F280" s="259"/>
      <c r="G280" s="48" t="s">
        <v>162</v>
      </c>
      <c r="H280" s="48">
        <f t="shared" si="5"/>
        <v>160</v>
      </c>
      <c r="I280" s="48">
        <v>16</v>
      </c>
      <c r="J280" s="48"/>
      <c r="K280" s="65"/>
      <c r="L280" s="98" t="s">
        <v>122</v>
      </c>
      <c r="M280" s="63"/>
    </row>
    <row r="281" s="213" customFormat="1" spans="1:13">
      <c r="A281" s="48"/>
      <c r="B281" s="48"/>
      <c r="C281" s="48"/>
      <c r="D281" s="48"/>
      <c r="E281" s="48"/>
      <c r="F281" s="259"/>
      <c r="G281" s="48" t="s">
        <v>163</v>
      </c>
      <c r="H281" s="48">
        <f t="shared" si="5"/>
        <v>176</v>
      </c>
      <c r="I281" s="48">
        <v>16</v>
      </c>
      <c r="J281" s="48"/>
      <c r="K281" s="65"/>
      <c r="L281" s="98" t="s">
        <v>122</v>
      </c>
      <c r="M281" s="63"/>
    </row>
    <row r="282" s="213" customFormat="1" spans="1:13">
      <c r="A282" s="48"/>
      <c r="B282" s="48"/>
      <c r="C282" s="48"/>
      <c r="D282" s="48"/>
      <c r="E282" s="48"/>
      <c r="F282" s="259"/>
      <c r="G282" s="48" t="s">
        <v>164</v>
      </c>
      <c r="H282" s="48">
        <f t="shared" si="5"/>
        <v>192</v>
      </c>
      <c r="I282" s="48">
        <v>16</v>
      </c>
      <c r="J282" s="48"/>
      <c r="K282" s="65"/>
      <c r="L282" s="98" t="s">
        <v>122</v>
      </c>
      <c r="M282" s="63"/>
    </row>
    <row r="283" s="213" customFormat="1" spans="1:13">
      <c r="A283" s="48"/>
      <c r="B283" s="48"/>
      <c r="C283" s="48"/>
      <c r="D283" s="48"/>
      <c r="E283" s="48"/>
      <c r="F283" s="259"/>
      <c r="G283" s="259" t="s">
        <v>120</v>
      </c>
      <c r="H283" s="48">
        <f t="shared" si="5"/>
        <v>208</v>
      </c>
      <c r="I283" s="48">
        <v>4</v>
      </c>
      <c r="J283" s="48"/>
      <c r="K283" s="65"/>
      <c r="L283" s="213"/>
      <c r="M283" s="63"/>
    </row>
    <row r="284" s="213" customFormat="1" spans="1:13">
      <c r="A284" s="48"/>
      <c r="B284" s="48"/>
      <c r="C284" s="48"/>
      <c r="D284" s="48"/>
      <c r="E284" s="48"/>
      <c r="F284" s="259"/>
      <c r="G284" s="48" t="s">
        <v>165</v>
      </c>
      <c r="H284" s="48">
        <f t="shared" si="5"/>
        <v>212</v>
      </c>
      <c r="I284" s="48">
        <v>16</v>
      </c>
      <c r="J284" s="48"/>
      <c r="K284" s="65"/>
      <c r="L284" s="98" t="s">
        <v>122</v>
      </c>
      <c r="M284" s="63"/>
    </row>
    <row r="285" s="213" customFormat="1" spans="1:13">
      <c r="A285" s="48"/>
      <c r="B285" s="48"/>
      <c r="C285" s="48"/>
      <c r="D285" s="48"/>
      <c r="E285" s="48"/>
      <c r="F285" s="259"/>
      <c r="G285" s="48" t="s">
        <v>166</v>
      </c>
      <c r="H285" s="48">
        <f t="shared" si="5"/>
        <v>228</v>
      </c>
      <c r="I285" s="48">
        <v>16</v>
      </c>
      <c r="J285" s="48"/>
      <c r="K285" s="65"/>
      <c r="L285" s="98" t="s">
        <v>122</v>
      </c>
      <c r="M285" s="63"/>
    </row>
    <row r="286" s="213" customFormat="1" spans="1:13">
      <c r="A286" s="48"/>
      <c r="B286" s="48"/>
      <c r="C286" s="48"/>
      <c r="D286" s="48"/>
      <c r="E286" s="48"/>
      <c r="F286" s="259"/>
      <c r="G286" s="48" t="s">
        <v>167</v>
      </c>
      <c r="H286" s="48">
        <f t="shared" si="5"/>
        <v>244</v>
      </c>
      <c r="I286" s="48">
        <v>16</v>
      </c>
      <c r="J286" s="48"/>
      <c r="K286" s="65"/>
      <c r="L286" s="98" t="s">
        <v>122</v>
      </c>
      <c r="M286" s="63"/>
    </row>
    <row r="287" s="213" customFormat="1" spans="1:13">
      <c r="A287" s="48"/>
      <c r="B287" s="48"/>
      <c r="C287" s="48"/>
      <c r="D287" s="48"/>
      <c r="E287" s="48"/>
      <c r="F287" s="259"/>
      <c r="G287" s="48" t="s">
        <v>168</v>
      </c>
      <c r="H287" s="48">
        <f t="shared" si="5"/>
        <v>260</v>
      </c>
      <c r="I287" s="48">
        <v>16</v>
      </c>
      <c r="J287" s="48"/>
      <c r="K287" s="65"/>
      <c r="L287" s="98" t="s">
        <v>122</v>
      </c>
      <c r="M287" s="63"/>
    </row>
    <row r="288" s="213" customFormat="1" spans="1:13">
      <c r="A288" s="48"/>
      <c r="B288" s="48"/>
      <c r="C288" s="48"/>
      <c r="D288" s="48"/>
      <c r="E288" s="48"/>
      <c r="F288" s="259"/>
      <c r="G288" s="259" t="s">
        <v>120</v>
      </c>
      <c r="H288" s="48">
        <f t="shared" si="5"/>
        <v>276</v>
      </c>
      <c r="I288" s="48">
        <v>4</v>
      </c>
      <c r="J288" s="48"/>
      <c r="K288" s="65"/>
      <c r="L288" s="213"/>
      <c r="M288" s="63"/>
    </row>
    <row r="289" s="213" customFormat="1" spans="1:13">
      <c r="A289" s="48"/>
      <c r="B289" s="48"/>
      <c r="C289" s="48"/>
      <c r="D289" s="48"/>
      <c r="E289" s="48"/>
      <c r="F289" s="259"/>
      <c r="G289" s="48" t="s">
        <v>169</v>
      </c>
      <c r="H289" s="48">
        <f t="shared" si="5"/>
        <v>280</v>
      </c>
      <c r="I289" s="48">
        <v>16</v>
      </c>
      <c r="J289" s="48"/>
      <c r="K289" s="65"/>
      <c r="L289" s="98" t="s">
        <v>122</v>
      </c>
      <c r="M289" s="63"/>
    </row>
    <row r="290" s="213" customFormat="1" spans="1:13">
      <c r="A290" s="48"/>
      <c r="B290" s="48"/>
      <c r="C290" s="48"/>
      <c r="D290" s="48"/>
      <c r="E290" s="48"/>
      <c r="F290" s="259"/>
      <c r="G290" s="48" t="s">
        <v>170</v>
      </c>
      <c r="H290" s="48">
        <f t="shared" si="5"/>
        <v>296</v>
      </c>
      <c r="I290" s="48">
        <v>16</v>
      </c>
      <c r="J290" s="48"/>
      <c r="K290" s="65"/>
      <c r="L290" s="98" t="s">
        <v>122</v>
      </c>
      <c r="M290" s="63"/>
    </row>
    <row r="291" s="213" customFormat="1" spans="1:13">
      <c r="A291" s="48"/>
      <c r="B291" s="48"/>
      <c r="C291" s="48"/>
      <c r="D291" s="48"/>
      <c r="E291" s="48"/>
      <c r="F291" s="259"/>
      <c r="G291" s="48" t="s">
        <v>171</v>
      </c>
      <c r="H291" s="48">
        <f t="shared" si="5"/>
        <v>312</v>
      </c>
      <c r="I291" s="48">
        <v>16</v>
      </c>
      <c r="J291" s="48"/>
      <c r="K291" s="65"/>
      <c r="L291" s="98" t="s">
        <v>122</v>
      </c>
      <c r="M291" s="63"/>
    </row>
    <row r="292" s="213" customFormat="1" spans="1:13">
      <c r="A292" s="48"/>
      <c r="B292" s="48"/>
      <c r="C292" s="48"/>
      <c r="D292" s="48"/>
      <c r="E292" s="48"/>
      <c r="F292" s="259"/>
      <c r="G292" s="48" t="s">
        <v>172</v>
      </c>
      <c r="H292" s="48">
        <f t="shared" si="5"/>
        <v>328</v>
      </c>
      <c r="I292" s="48">
        <v>16</v>
      </c>
      <c r="J292" s="48"/>
      <c r="K292" s="65"/>
      <c r="L292" s="98" t="s">
        <v>122</v>
      </c>
      <c r="M292" s="63"/>
    </row>
    <row r="293" s="213" customFormat="1" spans="1:13">
      <c r="A293" s="48"/>
      <c r="B293" s="48"/>
      <c r="C293" s="48"/>
      <c r="D293" s="48"/>
      <c r="E293" s="48"/>
      <c r="F293" s="259"/>
      <c r="G293" s="259" t="s">
        <v>120</v>
      </c>
      <c r="H293" s="48">
        <f t="shared" si="5"/>
        <v>344</v>
      </c>
      <c r="I293" s="48">
        <v>4</v>
      </c>
      <c r="J293" s="48"/>
      <c r="K293" s="65"/>
      <c r="L293" s="213"/>
      <c r="M293" s="63"/>
    </row>
    <row r="294" s="213" customFormat="1" spans="1:13">
      <c r="A294" s="48"/>
      <c r="B294" s="48"/>
      <c r="C294" s="48"/>
      <c r="D294" s="48"/>
      <c r="E294" s="48"/>
      <c r="F294" s="259"/>
      <c r="G294" s="48" t="s">
        <v>173</v>
      </c>
      <c r="H294" s="48">
        <f t="shared" si="5"/>
        <v>348</v>
      </c>
      <c r="I294" s="48">
        <v>16</v>
      </c>
      <c r="J294" s="48"/>
      <c r="K294" s="65"/>
      <c r="L294" s="98" t="s">
        <v>122</v>
      </c>
      <c r="M294" s="63"/>
    </row>
    <row r="295" s="213" customFormat="1" spans="1:13">
      <c r="A295" s="48"/>
      <c r="B295" s="48"/>
      <c r="C295" s="48"/>
      <c r="D295" s="48"/>
      <c r="E295" s="48"/>
      <c r="F295" s="259"/>
      <c r="G295" s="48" t="s">
        <v>174</v>
      </c>
      <c r="H295" s="48">
        <f t="shared" si="5"/>
        <v>364</v>
      </c>
      <c r="I295" s="48">
        <v>16</v>
      </c>
      <c r="J295" s="48"/>
      <c r="K295" s="65"/>
      <c r="L295" s="98" t="s">
        <v>122</v>
      </c>
      <c r="M295" s="63"/>
    </row>
    <row r="296" s="213" customFormat="1" spans="1:13">
      <c r="A296" s="48"/>
      <c r="B296" s="48"/>
      <c r="C296" s="48"/>
      <c r="D296" s="48"/>
      <c r="E296" s="48"/>
      <c r="F296" s="259"/>
      <c r="G296" s="48" t="s">
        <v>175</v>
      </c>
      <c r="H296" s="48">
        <f t="shared" si="5"/>
        <v>380</v>
      </c>
      <c r="I296" s="48">
        <v>16</v>
      </c>
      <c r="J296" s="48"/>
      <c r="K296" s="65"/>
      <c r="L296" s="98" t="s">
        <v>122</v>
      </c>
      <c r="M296" s="63"/>
    </row>
    <row r="297" s="213" customFormat="1" spans="1:13">
      <c r="A297" s="48"/>
      <c r="B297" s="48"/>
      <c r="C297" s="48"/>
      <c r="D297" s="48"/>
      <c r="E297" s="48"/>
      <c r="F297" s="259"/>
      <c r="G297" s="48" t="s">
        <v>176</v>
      </c>
      <c r="H297" s="48">
        <f t="shared" si="5"/>
        <v>396</v>
      </c>
      <c r="I297" s="48">
        <v>16</v>
      </c>
      <c r="J297" s="48"/>
      <c r="K297" s="65"/>
      <c r="L297" s="98" t="s">
        <v>122</v>
      </c>
      <c r="M297" s="63"/>
    </row>
    <row r="298" s="213" customFormat="1" spans="1:13">
      <c r="A298" s="48"/>
      <c r="B298" s="48"/>
      <c r="C298" s="48"/>
      <c r="D298" s="48"/>
      <c r="E298" s="48"/>
      <c r="F298" s="259"/>
      <c r="G298" s="259" t="s">
        <v>120</v>
      </c>
      <c r="H298" s="48">
        <f t="shared" si="5"/>
        <v>412</v>
      </c>
      <c r="I298" s="48">
        <v>4</v>
      </c>
      <c r="J298" s="48"/>
      <c r="K298" s="65"/>
      <c r="L298" s="213"/>
      <c r="M298" s="63"/>
    </row>
    <row r="299" s="213" customFormat="1" spans="1:13">
      <c r="A299" s="48"/>
      <c r="B299" s="48"/>
      <c r="C299" s="48"/>
      <c r="D299" s="48"/>
      <c r="E299" s="48"/>
      <c r="F299" s="259"/>
      <c r="G299" s="48" t="s">
        <v>177</v>
      </c>
      <c r="H299" s="48">
        <f t="shared" si="5"/>
        <v>416</v>
      </c>
      <c r="I299" s="48">
        <v>16</v>
      </c>
      <c r="J299" s="48"/>
      <c r="K299" s="65"/>
      <c r="L299" s="98" t="s">
        <v>122</v>
      </c>
      <c r="M299" s="63"/>
    </row>
    <row r="300" s="213" customFormat="1" spans="1:13">
      <c r="A300" s="48"/>
      <c r="B300" s="48"/>
      <c r="C300" s="48"/>
      <c r="D300" s="48"/>
      <c r="E300" s="48"/>
      <c r="F300" s="259"/>
      <c r="G300" s="48" t="s">
        <v>178</v>
      </c>
      <c r="H300" s="48">
        <f t="shared" si="5"/>
        <v>432</v>
      </c>
      <c r="I300" s="48">
        <v>16</v>
      </c>
      <c r="J300" s="48"/>
      <c r="K300" s="65"/>
      <c r="L300" s="98" t="s">
        <v>122</v>
      </c>
      <c r="M300" s="63"/>
    </row>
    <row r="301" s="213" customFormat="1" spans="1:13">
      <c r="A301" s="48"/>
      <c r="B301" s="48"/>
      <c r="C301" s="48"/>
      <c r="D301" s="48"/>
      <c r="E301" s="48"/>
      <c r="F301" s="259"/>
      <c r="G301" s="48" t="s">
        <v>179</v>
      </c>
      <c r="H301" s="48">
        <f t="shared" si="5"/>
        <v>448</v>
      </c>
      <c r="I301" s="48">
        <v>16</v>
      </c>
      <c r="J301" s="48"/>
      <c r="K301" s="65"/>
      <c r="L301" s="98" t="s">
        <v>122</v>
      </c>
      <c r="M301" s="63"/>
    </row>
    <row r="302" s="213" customFormat="1" spans="1:13">
      <c r="A302" s="48"/>
      <c r="B302" s="48"/>
      <c r="C302" s="48"/>
      <c r="D302" s="48"/>
      <c r="E302" s="48"/>
      <c r="F302" s="259"/>
      <c r="G302" s="48" t="s">
        <v>180</v>
      </c>
      <c r="H302" s="48">
        <f t="shared" si="5"/>
        <v>464</v>
      </c>
      <c r="I302" s="48">
        <v>16</v>
      </c>
      <c r="J302" s="48"/>
      <c r="K302" s="65"/>
      <c r="L302" s="98" t="s">
        <v>122</v>
      </c>
      <c r="M302" s="63"/>
    </row>
    <row r="303" s="213" customFormat="1" spans="1:13">
      <c r="A303" s="48"/>
      <c r="B303" s="48"/>
      <c r="C303" s="48"/>
      <c r="D303" s="48"/>
      <c r="E303" s="48"/>
      <c r="F303" s="259"/>
      <c r="G303" s="259" t="s">
        <v>120</v>
      </c>
      <c r="H303" s="48">
        <f t="shared" si="5"/>
        <v>480</v>
      </c>
      <c r="I303" s="48">
        <v>4</v>
      </c>
      <c r="J303" s="48"/>
      <c r="K303" s="65"/>
      <c r="L303" s="213"/>
      <c r="M303" s="63"/>
    </row>
    <row r="304" s="213" customFormat="1" spans="1:13">
      <c r="A304" s="48"/>
      <c r="B304" s="48"/>
      <c r="C304" s="48"/>
      <c r="D304" s="48"/>
      <c r="E304" s="48"/>
      <c r="F304" s="259"/>
      <c r="G304" s="48" t="s">
        <v>181</v>
      </c>
      <c r="H304" s="48">
        <f t="shared" si="5"/>
        <v>484</v>
      </c>
      <c r="I304" s="48">
        <v>16</v>
      </c>
      <c r="J304" s="48"/>
      <c r="K304" s="65"/>
      <c r="L304" s="98" t="s">
        <v>122</v>
      </c>
      <c r="M304" s="63"/>
    </row>
    <row r="305" s="213" customFormat="1" spans="1:13">
      <c r="A305" s="48"/>
      <c r="B305" s="48"/>
      <c r="C305" s="48"/>
      <c r="D305" s="48"/>
      <c r="E305" s="48"/>
      <c r="F305" s="259"/>
      <c r="G305" s="48" t="s">
        <v>182</v>
      </c>
      <c r="H305" s="48">
        <f t="shared" si="5"/>
        <v>500</v>
      </c>
      <c r="I305" s="48">
        <v>16</v>
      </c>
      <c r="J305" s="48"/>
      <c r="K305" s="65"/>
      <c r="L305" s="98" t="s">
        <v>122</v>
      </c>
      <c r="M305" s="63"/>
    </row>
    <row r="306" s="213" customFormat="1" spans="1:13">
      <c r="A306" s="48" t="s">
        <v>115</v>
      </c>
      <c r="B306" s="48" t="s">
        <v>116</v>
      </c>
      <c r="C306" s="48" t="s">
        <v>117</v>
      </c>
      <c r="D306" s="48" t="s">
        <v>133</v>
      </c>
      <c r="E306" s="48">
        <v>7094</v>
      </c>
      <c r="F306" s="259" t="s">
        <v>137</v>
      </c>
      <c r="G306" s="260" t="s">
        <v>87</v>
      </c>
      <c r="H306" s="48">
        <v>0</v>
      </c>
      <c r="I306" s="48">
        <v>4</v>
      </c>
      <c r="J306" s="48" t="s">
        <v>135</v>
      </c>
      <c r="K306" s="65">
        <v>100</v>
      </c>
      <c r="L306" s="98"/>
      <c r="M306" s="61">
        <v>1502201</v>
      </c>
    </row>
    <row r="307" s="213" customFormat="1" spans="1:13">
      <c r="A307" s="48"/>
      <c r="B307" s="48"/>
      <c r="C307" s="48"/>
      <c r="D307" s="48"/>
      <c r="E307" s="48"/>
      <c r="F307" s="259"/>
      <c r="G307" s="259" t="s">
        <v>120</v>
      </c>
      <c r="H307" s="48">
        <v>4</v>
      </c>
      <c r="I307" s="48">
        <v>4</v>
      </c>
      <c r="J307" s="48"/>
      <c r="K307" s="65"/>
      <c r="L307" s="98"/>
      <c r="M307" s="63"/>
    </row>
    <row r="308" s="213" customFormat="1" spans="1:13">
      <c r="A308" s="48"/>
      <c r="B308" s="48"/>
      <c r="C308" s="48"/>
      <c r="D308" s="48"/>
      <c r="E308" s="48"/>
      <c r="F308" s="259"/>
      <c r="G308" s="48" t="s">
        <v>153</v>
      </c>
      <c r="H308" s="48">
        <v>8</v>
      </c>
      <c r="I308" s="48">
        <v>16</v>
      </c>
      <c r="J308" s="48"/>
      <c r="K308" s="65"/>
      <c r="L308" s="98" t="s">
        <v>122</v>
      </c>
      <c r="M308" s="63"/>
    </row>
    <row r="309" s="213" customFormat="1" spans="1:13">
      <c r="A309" s="48"/>
      <c r="B309" s="48"/>
      <c r="C309" s="48"/>
      <c r="D309" s="48"/>
      <c r="E309" s="48"/>
      <c r="F309" s="259"/>
      <c r="G309" s="48" t="s">
        <v>154</v>
      </c>
      <c r="H309" s="48">
        <f t="shared" ref="H309:H344" si="6">H308+I308</f>
        <v>24</v>
      </c>
      <c r="I309" s="48">
        <v>16</v>
      </c>
      <c r="J309" s="48"/>
      <c r="K309" s="65"/>
      <c r="L309" s="98" t="s">
        <v>122</v>
      </c>
      <c r="M309" s="63"/>
    </row>
    <row r="310" s="213" customFormat="1" spans="1:13">
      <c r="A310" s="48"/>
      <c r="B310" s="48"/>
      <c r="C310" s="48"/>
      <c r="D310" s="48"/>
      <c r="E310" s="48"/>
      <c r="F310" s="259"/>
      <c r="G310" s="48" t="s">
        <v>155</v>
      </c>
      <c r="H310" s="48">
        <f t="shared" si="6"/>
        <v>40</v>
      </c>
      <c r="I310" s="48">
        <v>16</v>
      </c>
      <c r="J310" s="48"/>
      <c r="K310" s="65"/>
      <c r="L310" s="98" t="s">
        <v>122</v>
      </c>
      <c r="M310" s="63"/>
    </row>
    <row r="311" s="213" customFormat="1" spans="1:13">
      <c r="A311" s="48"/>
      <c r="B311" s="48"/>
      <c r="C311" s="48"/>
      <c r="D311" s="48"/>
      <c r="E311" s="48"/>
      <c r="F311" s="259"/>
      <c r="G311" s="48" t="s">
        <v>156</v>
      </c>
      <c r="H311" s="48">
        <f t="shared" si="6"/>
        <v>56</v>
      </c>
      <c r="I311" s="48">
        <v>16</v>
      </c>
      <c r="J311" s="48"/>
      <c r="K311" s="65"/>
      <c r="L311" s="98" t="s">
        <v>122</v>
      </c>
      <c r="M311" s="63"/>
    </row>
    <row r="312" s="213" customFormat="1" spans="1:13">
      <c r="A312" s="48"/>
      <c r="B312" s="48"/>
      <c r="C312" s="48"/>
      <c r="D312" s="48"/>
      <c r="E312" s="48"/>
      <c r="F312" s="259"/>
      <c r="G312" s="259" t="s">
        <v>120</v>
      </c>
      <c r="H312" s="48">
        <f t="shared" si="6"/>
        <v>72</v>
      </c>
      <c r="I312" s="48">
        <v>4</v>
      </c>
      <c r="J312" s="48"/>
      <c r="K312" s="65"/>
      <c r="L312" s="98"/>
      <c r="M312" s="63"/>
    </row>
    <row r="313" s="213" customFormat="1" spans="1:13">
      <c r="A313" s="48"/>
      <c r="B313" s="48"/>
      <c r="C313" s="48"/>
      <c r="D313" s="48"/>
      <c r="E313" s="48"/>
      <c r="F313" s="259"/>
      <c r="G313" s="48" t="s">
        <v>157</v>
      </c>
      <c r="H313" s="48">
        <f t="shared" si="6"/>
        <v>76</v>
      </c>
      <c r="I313" s="48">
        <v>16</v>
      </c>
      <c r="J313" s="48"/>
      <c r="K313" s="65"/>
      <c r="L313" s="98" t="s">
        <v>122</v>
      </c>
      <c r="M313" s="63"/>
    </row>
    <row r="314" s="213" customFormat="1" spans="1:13">
      <c r="A314" s="48"/>
      <c r="B314" s="48"/>
      <c r="C314" s="48"/>
      <c r="D314" s="48"/>
      <c r="E314" s="48"/>
      <c r="F314" s="259"/>
      <c r="G314" s="48" t="s">
        <v>158</v>
      </c>
      <c r="H314" s="48">
        <f t="shared" si="6"/>
        <v>92</v>
      </c>
      <c r="I314" s="48">
        <v>16</v>
      </c>
      <c r="J314" s="48"/>
      <c r="K314" s="65"/>
      <c r="L314" s="98" t="s">
        <v>122</v>
      </c>
      <c r="M314" s="63"/>
    </row>
    <row r="315" s="213" customFormat="1" spans="1:13">
      <c r="A315" s="48"/>
      <c r="B315" s="48"/>
      <c r="C315" s="48"/>
      <c r="D315" s="48"/>
      <c r="E315" s="48"/>
      <c r="F315" s="259"/>
      <c r="G315" s="48" t="s">
        <v>159</v>
      </c>
      <c r="H315" s="48">
        <f t="shared" si="6"/>
        <v>108</v>
      </c>
      <c r="I315" s="48">
        <v>16</v>
      </c>
      <c r="J315" s="48"/>
      <c r="K315" s="65"/>
      <c r="L315" s="98" t="s">
        <v>122</v>
      </c>
      <c r="M315" s="63"/>
    </row>
    <row r="316" s="213" customFormat="1" spans="1:13">
      <c r="A316" s="48"/>
      <c r="B316" s="48"/>
      <c r="C316" s="48"/>
      <c r="D316" s="48"/>
      <c r="E316" s="48"/>
      <c r="F316" s="259"/>
      <c r="G316" s="48" t="s">
        <v>160</v>
      </c>
      <c r="H316" s="48">
        <f t="shared" si="6"/>
        <v>124</v>
      </c>
      <c r="I316" s="48">
        <v>16</v>
      </c>
      <c r="J316" s="48"/>
      <c r="K316" s="65"/>
      <c r="L316" s="98" t="s">
        <v>122</v>
      </c>
      <c r="M316" s="63"/>
    </row>
    <row r="317" s="213" customFormat="1" spans="1:13">
      <c r="A317" s="48"/>
      <c r="B317" s="48"/>
      <c r="C317" s="48"/>
      <c r="D317" s="48"/>
      <c r="E317" s="48"/>
      <c r="F317" s="259"/>
      <c r="G317" s="259" t="s">
        <v>120</v>
      </c>
      <c r="H317" s="48">
        <f t="shared" si="6"/>
        <v>140</v>
      </c>
      <c r="I317" s="48">
        <v>4</v>
      </c>
      <c r="J317" s="48"/>
      <c r="K317" s="65"/>
      <c r="L317" s="98"/>
      <c r="M317" s="63"/>
    </row>
    <row r="318" s="213" customFormat="1" spans="1:13">
      <c r="A318" s="48"/>
      <c r="B318" s="48"/>
      <c r="C318" s="48"/>
      <c r="D318" s="48"/>
      <c r="E318" s="48"/>
      <c r="F318" s="259"/>
      <c r="G318" s="48" t="s">
        <v>161</v>
      </c>
      <c r="H318" s="48">
        <f t="shared" si="6"/>
        <v>144</v>
      </c>
      <c r="I318" s="48">
        <v>16</v>
      </c>
      <c r="J318" s="48"/>
      <c r="K318" s="65"/>
      <c r="L318" s="98" t="s">
        <v>122</v>
      </c>
      <c r="M318" s="63"/>
    </row>
    <row r="319" s="213" customFormat="1" spans="1:13">
      <c r="A319" s="48"/>
      <c r="B319" s="48"/>
      <c r="C319" s="48"/>
      <c r="D319" s="48"/>
      <c r="E319" s="48"/>
      <c r="F319" s="259"/>
      <c r="G319" s="48" t="s">
        <v>162</v>
      </c>
      <c r="H319" s="48">
        <f t="shared" si="6"/>
        <v>160</v>
      </c>
      <c r="I319" s="48">
        <v>16</v>
      </c>
      <c r="J319" s="48"/>
      <c r="K319" s="65"/>
      <c r="L319" s="98" t="s">
        <v>122</v>
      </c>
      <c r="M319" s="63"/>
    </row>
    <row r="320" s="213" customFormat="1" spans="1:13">
      <c r="A320" s="48"/>
      <c r="B320" s="48"/>
      <c r="C320" s="48"/>
      <c r="D320" s="48"/>
      <c r="E320" s="48"/>
      <c r="F320" s="259"/>
      <c r="G320" s="48" t="s">
        <v>163</v>
      </c>
      <c r="H320" s="48">
        <f t="shared" si="6"/>
        <v>176</v>
      </c>
      <c r="I320" s="48">
        <v>16</v>
      </c>
      <c r="J320" s="48"/>
      <c r="K320" s="65"/>
      <c r="L320" s="98" t="s">
        <v>122</v>
      </c>
      <c r="M320" s="63"/>
    </row>
    <row r="321" s="213" customFormat="1" spans="1:13">
      <c r="A321" s="48"/>
      <c r="B321" s="48"/>
      <c r="C321" s="48"/>
      <c r="D321" s="48"/>
      <c r="E321" s="48"/>
      <c r="F321" s="259"/>
      <c r="G321" s="48" t="s">
        <v>164</v>
      </c>
      <c r="H321" s="48">
        <f t="shared" si="6"/>
        <v>192</v>
      </c>
      <c r="I321" s="48">
        <v>16</v>
      </c>
      <c r="J321" s="48"/>
      <c r="K321" s="65"/>
      <c r="L321" s="98" t="s">
        <v>122</v>
      </c>
      <c r="M321" s="63"/>
    </row>
    <row r="322" s="213" customFormat="1" spans="1:13">
      <c r="A322" s="48"/>
      <c r="B322" s="48"/>
      <c r="C322" s="48"/>
      <c r="D322" s="48"/>
      <c r="E322" s="48"/>
      <c r="F322" s="259"/>
      <c r="G322" s="259" t="s">
        <v>120</v>
      </c>
      <c r="H322" s="48">
        <f t="shared" si="6"/>
        <v>208</v>
      </c>
      <c r="I322" s="48">
        <v>4</v>
      </c>
      <c r="J322" s="48"/>
      <c r="K322" s="65"/>
      <c r="L322" s="213"/>
      <c r="M322" s="63"/>
    </row>
    <row r="323" s="213" customFormat="1" spans="1:13">
      <c r="A323" s="48"/>
      <c r="B323" s="48"/>
      <c r="C323" s="48"/>
      <c r="D323" s="48"/>
      <c r="E323" s="48"/>
      <c r="F323" s="259"/>
      <c r="G323" s="48" t="s">
        <v>165</v>
      </c>
      <c r="H323" s="48">
        <f t="shared" si="6"/>
        <v>212</v>
      </c>
      <c r="I323" s="48">
        <v>16</v>
      </c>
      <c r="J323" s="48"/>
      <c r="K323" s="65"/>
      <c r="L323" s="98" t="s">
        <v>122</v>
      </c>
      <c r="M323" s="63"/>
    </row>
    <row r="324" s="213" customFormat="1" spans="1:13">
      <c r="A324" s="48"/>
      <c r="B324" s="48"/>
      <c r="C324" s="48"/>
      <c r="D324" s="48"/>
      <c r="E324" s="48"/>
      <c r="F324" s="259"/>
      <c r="G324" s="48" t="s">
        <v>166</v>
      </c>
      <c r="H324" s="48">
        <f t="shared" si="6"/>
        <v>228</v>
      </c>
      <c r="I324" s="48">
        <v>16</v>
      </c>
      <c r="J324" s="48"/>
      <c r="K324" s="65"/>
      <c r="L324" s="98" t="s">
        <v>122</v>
      </c>
      <c r="M324" s="63"/>
    </row>
    <row r="325" s="213" customFormat="1" spans="1:13">
      <c r="A325" s="48"/>
      <c r="B325" s="48"/>
      <c r="C325" s="48"/>
      <c r="D325" s="48"/>
      <c r="E325" s="48"/>
      <c r="F325" s="259"/>
      <c r="G325" s="48" t="s">
        <v>167</v>
      </c>
      <c r="H325" s="48">
        <f t="shared" si="6"/>
        <v>244</v>
      </c>
      <c r="I325" s="48">
        <v>16</v>
      </c>
      <c r="J325" s="48"/>
      <c r="K325" s="65"/>
      <c r="L325" s="98" t="s">
        <v>122</v>
      </c>
      <c r="M325" s="63"/>
    </row>
    <row r="326" s="213" customFormat="1" spans="1:13">
      <c r="A326" s="48"/>
      <c r="B326" s="48"/>
      <c r="C326" s="48"/>
      <c r="D326" s="48"/>
      <c r="E326" s="48"/>
      <c r="F326" s="259"/>
      <c r="G326" s="48" t="s">
        <v>168</v>
      </c>
      <c r="H326" s="48">
        <f t="shared" si="6"/>
        <v>260</v>
      </c>
      <c r="I326" s="48">
        <v>16</v>
      </c>
      <c r="J326" s="48"/>
      <c r="K326" s="65"/>
      <c r="L326" s="98" t="s">
        <v>122</v>
      </c>
      <c r="M326" s="63"/>
    </row>
    <row r="327" s="213" customFormat="1" spans="1:13">
      <c r="A327" s="48"/>
      <c r="B327" s="48"/>
      <c r="C327" s="48"/>
      <c r="D327" s="48"/>
      <c r="E327" s="48"/>
      <c r="F327" s="259"/>
      <c r="G327" s="259" t="s">
        <v>120</v>
      </c>
      <c r="H327" s="48">
        <f t="shared" si="6"/>
        <v>276</v>
      </c>
      <c r="I327" s="48">
        <v>4</v>
      </c>
      <c r="J327" s="48"/>
      <c r="K327" s="65"/>
      <c r="L327" s="213"/>
      <c r="M327" s="63"/>
    </row>
    <row r="328" s="213" customFormat="1" spans="1:13">
      <c r="A328" s="48"/>
      <c r="B328" s="48"/>
      <c r="C328" s="48"/>
      <c r="D328" s="48"/>
      <c r="E328" s="48"/>
      <c r="F328" s="259"/>
      <c r="G328" s="48" t="s">
        <v>169</v>
      </c>
      <c r="H328" s="48">
        <f t="shared" si="6"/>
        <v>280</v>
      </c>
      <c r="I328" s="48">
        <v>16</v>
      </c>
      <c r="J328" s="48"/>
      <c r="K328" s="65"/>
      <c r="L328" s="98" t="s">
        <v>122</v>
      </c>
      <c r="M328" s="63"/>
    </row>
    <row r="329" s="213" customFormat="1" spans="1:13">
      <c r="A329" s="48"/>
      <c r="B329" s="48"/>
      <c r="C329" s="48"/>
      <c r="D329" s="48"/>
      <c r="E329" s="48"/>
      <c r="F329" s="259"/>
      <c r="G329" s="48" t="s">
        <v>170</v>
      </c>
      <c r="H329" s="48">
        <f t="shared" si="6"/>
        <v>296</v>
      </c>
      <c r="I329" s="48">
        <v>16</v>
      </c>
      <c r="J329" s="48"/>
      <c r="K329" s="65"/>
      <c r="L329" s="98" t="s">
        <v>122</v>
      </c>
      <c r="M329" s="63"/>
    </row>
    <row r="330" s="213" customFormat="1" spans="1:13">
      <c r="A330" s="48"/>
      <c r="B330" s="48"/>
      <c r="C330" s="48"/>
      <c r="D330" s="48"/>
      <c r="E330" s="48"/>
      <c r="F330" s="259"/>
      <c r="G330" s="48" t="s">
        <v>171</v>
      </c>
      <c r="H330" s="48">
        <f t="shared" si="6"/>
        <v>312</v>
      </c>
      <c r="I330" s="48">
        <v>16</v>
      </c>
      <c r="J330" s="48"/>
      <c r="K330" s="65"/>
      <c r="L330" s="98" t="s">
        <v>122</v>
      </c>
      <c r="M330" s="63"/>
    </row>
    <row r="331" s="213" customFormat="1" spans="1:13">
      <c r="A331" s="48"/>
      <c r="B331" s="48"/>
      <c r="C331" s="48"/>
      <c r="D331" s="48"/>
      <c r="E331" s="48"/>
      <c r="F331" s="259"/>
      <c r="G331" s="48" t="s">
        <v>172</v>
      </c>
      <c r="H331" s="48">
        <f t="shared" si="6"/>
        <v>328</v>
      </c>
      <c r="I331" s="48">
        <v>16</v>
      </c>
      <c r="J331" s="48"/>
      <c r="K331" s="65"/>
      <c r="L331" s="98" t="s">
        <v>122</v>
      </c>
      <c r="M331" s="63"/>
    </row>
    <row r="332" s="213" customFormat="1" spans="1:13">
      <c r="A332" s="48"/>
      <c r="B332" s="48"/>
      <c r="C332" s="48"/>
      <c r="D332" s="48"/>
      <c r="E332" s="48"/>
      <c r="F332" s="259"/>
      <c r="G332" s="259" t="s">
        <v>120</v>
      </c>
      <c r="H332" s="48">
        <f t="shared" si="6"/>
        <v>344</v>
      </c>
      <c r="I332" s="48">
        <v>4</v>
      </c>
      <c r="J332" s="48"/>
      <c r="K332" s="65"/>
      <c r="L332" s="213"/>
      <c r="M332" s="63"/>
    </row>
    <row r="333" s="213" customFormat="1" spans="1:13">
      <c r="A333" s="48"/>
      <c r="B333" s="48"/>
      <c r="C333" s="48"/>
      <c r="D333" s="48"/>
      <c r="E333" s="48"/>
      <c r="F333" s="259"/>
      <c r="G333" s="48" t="s">
        <v>173</v>
      </c>
      <c r="H333" s="48">
        <f t="shared" si="6"/>
        <v>348</v>
      </c>
      <c r="I333" s="48">
        <v>16</v>
      </c>
      <c r="J333" s="48"/>
      <c r="K333" s="65"/>
      <c r="L333" s="98" t="s">
        <v>122</v>
      </c>
      <c r="M333" s="63"/>
    </row>
    <row r="334" s="213" customFormat="1" spans="1:13">
      <c r="A334" s="48"/>
      <c r="B334" s="48"/>
      <c r="C334" s="48"/>
      <c r="D334" s="48"/>
      <c r="E334" s="48"/>
      <c r="F334" s="259"/>
      <c r="G334" s="48" t="s">
        <v>174</v>
      </c>
      <c r="H334" s="48">
        <f t="shared" si="6"/>
        <v>364</v>
      </c>
      <c r="I334" s="48">
        <v>16</v>
      </c>
      <c r="J334" s="48"/>
      <c r="K334" s="65"/>
      <c r="L334" s="98" t="s">
        <v>122</v>
      </c>
      <c r="M334" s="63"/>
    </row>
    <row r="335" s="213" customFormat="1" spans="1:13">
      <c r="A335" s="48"/>
      <c r="B335" s="48"/>
      <c r="C335" s="48"/>
      <c r="D335" s="48"/>
      <c r="E335" s="48"/>
      <c r="F335" s="259"/>
      <c r="G335" s="48" t="s">
        <v>175</v>
      </c>
      <c r="H335" s="48">
        <f t="shared" si="6"/>
        <v>380</v>
      </c>
      <c r="I335" s="48">
        <v>16</v>
      </c>
      <c r="J335" s="48"/>
      <c r="K335" s="65"/>
      <c r="L335" s="98" t="s">
        <v>122</v>
      </c>
      <c r="M335" s="63"/>
    </row>
    <row r="336" s="213" customFormat="1" spans="1:13">
      <c r="A336" s="48"/>
      <c r="B336" s="48"/>
      <c r="C336" s="48"/>
      <c r="D336" s="48"/>
      <c r="E336" s="48"/>
      <c r="F336" s="259"/>
      <c r="G336" s="48" t="s">
        <v>176</v>
      </c>
      <c r="H336" s="48">
        <f t="shared" si="6"/>
        <v>396</v>
      </c>
      <c r="I336" s="48">
        <v>16</v>
      </c>
      <c r="J336" s="48"/>
      <c r="K336" s="65"/>
      <c r="L336" s="98" t="s">
        <v>122</v>
      </c>
      <c r="M336" s="63"/>
    </row>
    <row r="337" s="213" customFormat="1" spans="1:13">
      <c r="A337" s="48"/>
      <c r="B337" s="48"/>
      <c r="C337" s="48"/>
      <c r="D337" s="48"/>
      <c r="E337" s="48"/>
      <c r="F337" s="259"/>
      <c r="G337" s="259" t="s">
        <v>120</v>
      </c>
      <c r="H337" s="48">
        <f t="shared" si="6"/>
        <v>412</v>
      </c>
      <c r="I337" s="48">
        <v>4</v>
      </c>
      <c r="J337" s="48"/>
      <c r="K337" s="65"/>
      <c r="L337" s="213"/>
      <c r="M337" s="63"/>
    </row>
    <row r="338" s="213" customFormat="1" spans="1:13">
      <c r="A338" s="48"/>
      <c r="B338" s="48"/>
      <c r="C338" s="48"/>
      <c r="D338" s="48"/>
      <c r="E338" s="48"/>
      <c r="F338" s="259"/>
      <c r="G338" s="48" t="s">
        <v>177</v>
      </c>
      <c r="H338" s="48">
        <f t="shared" si="6"/>
        <v>416</v>
      </c>
      <c r="I338" s="48">
        <v>16</v>
      </c>
      <c r="J338" s="48"/>
      <c r="K338" s="65"/>
      <c r="L338" s="98" t="s">
        <v>122</v>
      </c>
      <c r="M338" s="63"/>
    </row>
    <row r="339" s="213" customFormat="1" spans="1:13">
      <c r="A339" s="48"/>
      <c r="B339" s="48"/>
      <c r="C339" s="48"/>
      <c r="D339" s="48"/>
      <c r="E339" s="48"/>
      <c r="F339" s="259"/>
      <c r="G339" s="48" t="s">
        <v>178</v>
      </c>
      <c r="H339" s="48">
        <f t="shared" si="6"/>
        <v>432</v>
      </c>
      <c r="I339" s="48">
        <v>16</v>
      </c>
      <c r="J339" s="48"/>
      <c r="K339" s="65"/>
      <c r="L339" s="98" t="s">
        <v>122</v>
      </c>
      <c r="M339" s="63"/>
    </row>
    <row r="340" s="213" customFormat="1" spans="1:13">
      <c r="A340" s="48"/>
      <c r="B340" s="48"/>
      <c r="C340" s="48"/>
      <c r="D340" s="48"/>
      <c r="E340" s="48"/>
      <c r="F340" s="259"/>
      <c r="G340" s="48" t="s">
        <v>179</v>
      </c>
      <c r="H340" s="48">
        <f t="shared" si="6"/>
        <v>448</v>
      </c>
      <c r="I340" s="48">
        <v>16</v>
      </c>
      <c r="J340" s="48"/>
      <c r="K340" s="65"/>
      <c r="L340" s="98" t="s">
        <v>122</v>
      </c>
      <c r="M340" s="63"/>
    </row>
    <row r="341" s="213" customFormat="1" spans="1:13">
      <c r="A341" s="48"/>
      <c r="B341" s="48"/>
      <c r="C341" s="48"/>
      <c r="D341" s="48"/>
      <c r="E341" s="48"/>
      <c r="F341" s="259"/>
      <c r="G341" s="48" t="s">
        <v>180</v>
      </c>
      <c r="H341" s="48">
        <f t="shared" si="6"/>
        <v>464</v>
      </c>
      <c r="I341" s="48">
        <v>16</v>
      </c>
      <c r="J341" s="48"/>
      <c r="K341" s="65"/>
      <c r="L341" s="98" t="s">
        <v>122</v>
      </c>
      <c r="M341" s="63"/>
    </row>
    <row r="342" s="213" customFormat="1" spans="1:13">
      <c r="A342" s="48"/>
      <c r="B342" s="48"/>
      <c r="C342" s="48"/>
      <c r="D342" s="48"/>
      <c r="E342" s="48"/>
      <c r="F342" s="259"/>
      <c r="G342" s="259" t="s">
        <v>120</v>
      </c>
      <c r="H342" s="48">
        <f t="shared" si="6"/>
        <v>480</v>
      </c>
      <c r="I342" s="48">
        <v>4</v>
      </c>
      <c r="J342" s="48"/>
      <c r="K342" s="65"/>
      <c r="L342" s="213"/>
      <c r="M342" s="63"/>
    </row>
    <row r="343" s="213" customFormat="1" spans="1:13">
      <c r="A343" s="48"/>
      <c r="B343" s="48"/>
      <c r="C343" s="48"/>
      <c r="D343" s="48"/>
      <c r="E343" s="48"/>
      <c r="F343" s="259"/>
      <c r="G343" s="48" t="s">
        <v>181</v>
      </c>
      <c r="H343" s="48">
        <f t="shared" si="6"/>
        <v>484</v>
      </c>
      <c r="I343" s="48">
        <v>16</v>
      </c>
      <c r="J343" s="48"/>
      <c r="K343" s="65"/>
      <c r="L343" s="98" t="s">
        <v>122</v>
      </c>
      <c r="M343" s="63"/>
    </row>
    <row r="344" s="213" customFormat="1" spans="1:13">
      <c r="A344" s="48"/>
      <c r="B344" s="48"/>
      <c r="C344" s="48"/>
      <c r="D344" s="48"/>
      <c r="E344" s="48"/>
      <c r="F344" s="259"/>
      <c r="G344" s="48" t="s">
        <v>182</v>
      </c>
      <c r="H344" s="48">
        <f t="shared" si="6"/>
        <v>500</v>
      </c>
      <c r="I344" s="48">
        <v>16</v>
      </c>
      <c r="J344" s="48"/>
      <c r="K344" s="65"/>
      <c r="L344" s="98" t="s">
        <v>122</v>
      </c>
      <c r="M344" s="63"/>
    </row>
    <row r="345" s="213" customFormat="1" spans="1:13">
      <c r="A345" s="48" t="s">
        <v>115</v>
      </c>
      <c r="B345" s="48" t="s">
        <v>116</v>
      </c>
      <c r="C345" s="48" t="s">
        <v>117</v>
      </c>
      <c r="D345" s="48" t="s">
        <v>118</v>
      </c>
      <c r="E345" s="48">
        <v>7095</v>
      </c>
      <c r="F345" s="259" t="s">
        <v>137</v>
      </c>
      <c r="G345" s="260" t="s">
        <v>87</v>
      </c>
      <c r="H345" s="48">
        <v>0</v>
      </c>
      <c r="I345" s="48">
        <v>4</v>
      </c>
      <c r="J345" s="48" t="s">
        <v>119</v>
      </c>
      <c r="K345" s="65">
        <v>100</v>
      </c>
      <c r="L345" s="98"/>
      <c r="M345" s="61">
        <v>1602201</v>
      </c>
    </row>
    <row r="346" s="213" customFormat="1" spans="1:13">
      <c r="A346" s="48"/>
      <c r="B346" s="48"/>
      <c r="C346" s="48"/>
      <c r="D346" s="48"/>
      <c r="E346" s="48"/>
      <c r="F346" s="259"/>
      <c r="G346" s="259" t="s">
        <v>120</v>
      </c>
      <c r="H346" s="48">
        <v>4</v>
      </c>
      <c r="I346" s="48">
        <v>4</v>
      </c>
      <c r="J346" s="48"/>
      <c r="K346" s="65"/>
      <c r="L346" s="98"/>
      <c r="M346" s="63"/>
    </row>
    <row r="347" s="213" customFormat="1" spans="1:13">
      <c r="A347" s="48"/>
      <c r="B347" s="48"/>
      <c r="C347" s="48"/>
      <c r="D347" s="48"/>
      <c r="E347" s="48"/>
      <c r="F347" s="259"/>
      <c r="G347" s="48" t="s">
        <v>183</v>
      </c>
      <c r="H347" s="48">
        <v>8</v>
      </c>
      <c r="I347" s="48">
        <v>16</v>
      </c>
      <c r="J347" s="48"/>
      <c r="K347" s="65"/>
      <c r="L347" s="98" t="s">
        <v>122</v>
      </c>
      <c r="M347" s="63"/>
    </row>
    <row r="348" s="213" customFormat="1" spans="1:13">
      <c r="A348" s="48"/>
      <c r="B348" s="48"/>
      <c r="C348" s="48"/>
      <c r="D348" s="48"/>
      <c r="E348" s="48"/>
      <c r="F348" s="259"/>
      <c r="G348" s="48" t="s">
        <v>184</v>
      </c>
      <c r="H348" s="48">
        <f t="shared" ref="H348:H358" si="7">H347+I347</f>
        <v>24</v>
      </c>
      <c r="I348" s="48">
        <v>16</v>
      </c>
      <c r="J348" s="48"/>
      <c r="K348" s="65"/>
      <c r="L348" s="98" t="s">
        <v>122</v>
      </c>
      <c r="M348" s="63"/>
    </row>
    <row r="349" s="213" customFormat="1" spans="1:13">
      <c r="A349" s="48"/>
      <c r="B349" s="48"/>
      <c r="C349" s="48"/>
      <c r="D349" s="48"/>
      <c r="E349" s="48"/>
      <c r="F349" s="259"/>
      <c r="G349" s="48" t="s">
        <v>185</v>
      </c>
      <c r="H349" s="48">
        <f t="shared" si="7"/>
        <v>40</v>
      </c>
      <c r="I349" s="48">
        <v>16</v>
      </c>
      <c r="J349" s="48"/>
      <c r="K349" s="65"/>
      <c r="L349" s="98" t="s">
        <v>122</v>
      </c>
      <c r="M349" s="63"/>
    </row>
    <row r="350" s="213" customFormat="1" spans="1:13">
      <c r="A350" s="48"/>
      <c r="B350" s="48"/>
      <c r="C350" s="48"/>
      <c r="D350" s="48"/>
      <c r="E350" s="48"/>
      <c r="F350" s="259"/>
      <c r="G350" s="48" t="s">
        <v>186</v>
      </c>
      <c r="H350" s="48">
        <f t="shared" si="7"/>
        <v>56</v>
      </c>
      <c r="I350" s="48">
        <v>16</v>
      </c>
      <c r="J350" s="48"/>
      <c r="K350" s="65"/>
      <c r="L350" s="98" t="s">
        <v>122</v>
      </c>
      <c r="M350" s="63"/>
    </row>
    <row r="351" s="213" customFormat="1" spans="1:13">
      <c r="A351" s="48"/>
      <c r="B351" s="48"/>
      <c r="C351" s="48"/>
      <c r="D351" s="48"/>
      <c r="E351" s="48"/>
      <c r="F351" s="259"/>
      <c r="G351" s="259" t="s">
        <v>120</v>
      </c>
      <c r="H351" s="48">
        <f t="shared" si="7"/>
        <v>72</v>
      </c>
      <c r="I351" s="48">
        <v>4</v>
      </c>
      <c r="J351" s="48"/>
      <c r="K351" s="65"/>
      <c r="L351" s="98"/>
      <c r="M351" s="63"/>
    </row>
    <row r="352" s="213" customFormat="1" spans="1:13">
      <c r="A352" s="48"/>
      <c r="B352" s="48"/>
      <c r="C352" s="48"/>
      <c r="D352" s="48"/>
      <c r="E352" s="48"/>
      <c r="F352" s="259"/>
      <c r="G352" s="48" t="s">
        <v>187</v>
      </c>
      <c r="H352" s="48">
        <f t="shared" si="7"/>
        <v>76</v>
      </c>
      <c r="I352" s="48">
        <v>16</v>
      </c>
      <c r="J352" s="48"/>
      <c r="K352" s="65"/>
      <c r="L352" s="98" t="s">
        <v>122</v>
      </c>
      <c r="M352" s="63"/>
    </row>
    <row r="353" s="213" customFormat="1" spans="1:13">
      <c r="A353" s="48"/>
      <c r="B353" s="48"/>
      <c r="C353" s="48"/>
      <c r="D353" s="48"/>
      <c r="E353" s="48"/>
      <c r="F353" s="259"/>
      <c r="G353" s="48" t="s">
        <v>188</v>
      </c>
      <c r="H353" s="48">
        <f t="shared" si="7"/>
        <v>92</v>
      </c>
      <c r="I353" s="48">
        <v>16</v>
      </c>
      <c r="J353" s="48"/>
      <c r="K353" s="65"/>
      <c r="L353" s="98" t="s">
        <v>122</v>
      </c>
      <c r="M353" s="63"/>
    </row>
    <row r="354" s="213" customFormat="1" spans="1:13">
      <c r="A354" s="48"/>
      <c r="B354" s="48"/>
      <c r="C354" s="48"/>
      <c r="D354" s="48"/>
      <c r="E354" s="48"/>
      <c r="F354" s="259"/>
      <c r="G354" s="48" t="s">
        <v>189</v>
      </c>
      <c r="H354" s="48">
        <f t="shared" si="7"/>
        <v>108</v>
      </c>
      <c r="I354" s="48">
        <v>16</v>
      </c>
      <c r="J354" s="48"/>
      <c r="K354" s="65"/>
      <c r="L354" s="98" t="s">
        <v>122</v>
      </c>
      <c r="M354" s="63"/>
    </row>
    <row r="355" s="213" customFormat="1" spans="1:13">
      <c r="A355" s="48"/>
      <c r="B355" s="48"/>
      <c r="C355" s="48"/>
      <c r="D355" s="48"/>
      <c r="E355" s="48"/>
      <c r="F355" s="259"/>
      <c r="G355" s="48" t="s">
        <v>190</v>
      </c>
      <c r="H355" s="48">
        <f t="shared" si="7"/>
        <v>124</v>
      </c>
      <c r="I355" s="48">
        <v>16</v>
      </c>
      <c r="J355" s="48"/>
      <c r="K355" s="65"/>
      <c r="L355" s="98" t="s">
        <v>122</v>
      </c>
      <c r="M355" s="63"/>
    </row>
    <row r="356" s="213" customFormat="1" spans="1:13">
      <c r="A356" s="48"/>
      <c r="B356" s="48"/>
      <c r="C356" s="48"/>
      <c r="D356" s="48"/>
      <c r="E356" s="48"/>
      <c r="F356" s="259"/>
      <c r="G356" s="259" t="s">
        <v>120</v>
      </c>
      <c r="H356" s="48">
        <f t="shared" si="7"/>
        <v>140</v>
      </c>
      <c r="I356" s="48">
        <v>4</v>
      </c>
      <c r="J356" s="48"/>
      <c r="K356" s="65"/>
      <c r="L356" s="98"/>
      <c r="M356" s="63"/>
    </row>
    <row r="357" s="213" customFormat="1" spans="1:13">
      <c r="A357" s="48"/>
      <c r="B357" s="48"/>
      <c r="C357" s="48"/>
      <c r="D357" s="48"/>
      <c r="E357" s="48"/>
      <c r="F357" s="259"/>
      <c r="G357" s="48" t="s">
        <v>191</v>
      </c>
      <c r="H357" s="48">
        <f t="shared" si="7"/>
        <v>144</v>
      </c>
      <c r="I357" s="48">
        <v>16</v>
      </c>
      <c r="J357" s="48"/>
      <c r="K357" s="65"/>
      <c r="L357" s="98" t="s">
        <v>122</v>
      </c>
      <c r="M357" s="63"/>
    </row>
    <row r="358" s="213" customFormat="1" spans="1:13">
      <c r="A358" s="48"/>
      <c r="B358" s="48"/>
      <c r="C358" s="48"/>
      <c r="D358" s="48"/>
      <c r="E358" s="48"/>
      <c r="F358" s="259"/>
      <c r="G358" s="48" t="s">
        <v>192</v>
      </c>
      <c r="H358" s="48">
        <f t="shared" si="7"/>
        <v>160</v>
      </c>
      <c r="I358" s="48">
        <v>16</v>
      </c>
      <c r="J358" s="48"/>
      <c r="K358" s="65"/>
      <c r="L358" s="98" t="s">
        <v>122</v>
      </c>
      <c r="M358" s="66"/>
    </row>
    <row r="359" s="213" customFormat="1" spans="1:13">
      <c r="A359" s="48" t="s">
        <v>115</v>
      </c>
      <c r="B359" s="48" t="s">
        <v>132</v>
      </c>
      <c r="C359" s="48" t="s">
        <v>117</v>
      </c>
      <c r="D359" s="48" t="s">
        <v>133</v>
      </c>
      <c r="E359" s="48">
        <v>7096</v>
      </c>
      <c r="F359" s="259" t="s">
        <v>137</v>
      </c>
      <c r="G359" s="259" t="s">
        <v>134</v>
      </c>
      <c r="H359" s="48">
        <v>0</v>
      </c>
      <c r="I359" s="48">
        <v>4</v>
      </c>
      <c r="J359" s="48" t="s">
        <v>135</v>
      </c>
      <c r="K359" s="65">
        <v>100</v>
      </c>
      <c r="L359" s="98"/>
      <c r="M359" s="61">
        <v>1502201</v>
      </c>
    </row>
    <row r="360" s="213" customFormat="1" spans="1:13">
      <c r="A360" s="48"/>
      <c r="B360" s="48"/>
      <c r="C360" s="48"/>
      <c r="D360" s="48"/>
      <c r="E360" s="48"/>
      <c r="F360" s="259"/>
      <c r="G360" s="259" t="s">
        <v>120</v>
      </c>
      <c r="H360" s="48">
        <v>4</v>
      </c>
      <c r="I360" s="48">
        <v>4</v>
      </c>
      <c r="J360" s="48"/>
      <c r="K360" s="65"/>
      <c r="L360" s="98"/>
      <c r="M360" s="63"/>
    </row>
    <row r="361" s="213" customFormat="1" spans="1:13">
      <c r="A361" s="48"/>
      <c r="B361" s="48"/>
      <c r="C361" s="48"/>
      <c r="D361" s="48"/>
      <c r="E361" s="48"/>
      <c r="F361" s="259"/>
      <c r="G361" s="48" t="s">
        <v>183</v>
      </c>
      <c r="H361" s="48">
        <v>8</v>
      </c>
      <c r="I361" s="48">
        <v>16</v>
      </c>
      <c r="J361" s="48"/>
      <c r="K361" s="65"/>
      <c r="L361" s="98" t="s">
        <v>122</v>
      </c>
      <c r="M361" s="63"/>
    </row>
    <row r="362" s="213" customFormat="1" spans="1:13">
      <c r="A362" s="48"/>
      <c r="B362" s="48"/>
      <c r="C362" s="48"/>
      <c r="D362" s="48"/>
      <c r="E362" s="48"/>
      <c r="F362" s="259"/>
      <c r="G362" s="48" t="s">
        <v>184</v>
      </c>
      <c r="H362" s="48">
        <f t="shared" ref="H362:H372" si="8">H361+I361</f>
        <v>24</v>
      </c>
      <c r="I362" s="48">
        <v>16</v>
      </c>
      <c r="J362" s="48"/>
      <c r="K362" s="65"/>
      <c r="L362" s="98" t="s">
        <v>122</v>
      </c>
      <c r="M362" s="63"/>
    </row>
    <row r="363" s="213" customFormat="1" spans="1:13">
      <c r="A363" s="48"/>
      <c r="B363" s="48"/>
      <c r="C363" s="48"/>
      <c r="D363" s="48"/>
      <c r="E363" s="48"/>
      <c r="F363" s="259"/>
      <c r="G363" s="48" t="s">
        <v>185</v>
      </c>
      <c r="H363" s="48">
        <f t="shared" si="8"/>
        <v>40</v>
      </c>
      <c r="I363" s="48">
        <v>16</v>
      </c>
      <c r="J363" s="48"/>
      <c r="K363" s="65"/>
      <c r="L363" s="98" t="s">
        <v>122</v>
      </c>
      <c r="M363" s="63"/>
    </row>
    <row r="364" s="213" customFormat="1" spans="1:13">
      <c r="A364" s="48"/>
      <c r="B364" s="48"/>
      <c r="C364" s="48"/>
      <c r="D364" s="48"/>
      <c r="E364" s="48"/>
      <c r="F364" s="259"/>
      <c r="G364" s="48" t="s">
        <v>186</v>
      </c>
      <c r="H364" s="48">
        <f t="shared" si="8"/>
        <v>56</v>
      </c>
      <c r="I364" s="48">
        <v>16</v>
      </c>
      <c r="J364" s="48"/>
      <c r="K364" s="65"/>
      <c r="L364" s="98" t="s">
        <v>122</v>
      </c>
      <c r="M364" s="63"/>
    </row>
    <row r="365" s="213" customFormat="1" spans="1:13">
      <c r="A365" s="48"/>
      <c r="B365" s="48"/>
      <c r="C365" s="48"/>
      <c r="D365" s="48"/>
      <c r="E365" s="48"/>
      <c r="F365" s="259"/>
      <c r="G365" s="259" t="s">
        <v>120</v>
      </c>
      <c r="H365" s="48">
        <f t="shared" si="8"/>
        <v>72</v>
      </c>
      <c r="I365" s="48">
        <v>4</v>
      </c>
      <c r="J365" s="48"/>
      <c r="K365" s="65"/>
      <c r="L365" s="98"/>
      <c r="M365" s="63"/>
    </row>
    <row r="366" s="213" customFormat="1" spans="1:13">
      <c r="A366" s="48"/>
      <c r="B366" s="48"/>
      <c r="C366" s="48"/>
      <c r="D366" s="48"/>
      <c r="E366" s="48"/>
      <c r="F366" s="259"/>
      <c r="G366" s="48" t="s">
        <v>187</v>
      </c>
      <c r="H366" s="48">
        <f t="shared" si="8"/>
        <v>76</v>
      </c>
      <c r="I366" s="48">
        <v>16</v>
      </c>
      <c r="J366" s="48"/>
      <c r="K366" s="65"/>
      <c r="L366" s="98" t="s">
        <v>122</v>
      </c>
      <c r="M366" s="63"/>
    </row>
    <row r="367" s="213" customFormat="1" spans="1:13">
      <c r="A367" s="48"/>
      <c r="B367" s="48"/>
      <c r="C367" s="48"/>
      <c r="D367" s="48"/>
      <c r="E367" s="48"/>
      <c r="F367" s="259"/>
      <c r="G367" s="48" t="s">
        <v>188</v>
      </c>
      <c r="H367" s="48">
        <f t="shared" si="8"/>
        <v>92</v>
      </c>
      <c r="I367" s="48">
        <v>16</v>
      </c>
      <c r="J367" s="48"/>
      <c r="K367" s="65"/>
      <c r="L367" s="98" t="s">
        <v>122</v>
      </c>
      <c r="M367" s="63"/>
    </row>
    <row r="368" s="213" customFormat="1" spans="1:13">
      <c r="A368" s="48"/>
      <c r="B368" s="48"/>
      <c r="C368" s="48"/>
      <c r="D368" s="48"/>
      <c r="E368" s="48"/>
      <c r="F368" s="259"/>
      <c r="G368" s="48" t="s">
        <v>189</v>
      </c>
      <c r="H368" s="48">
        <f t="shared" si="8"/>
        <v>108</v>
      </c>
      <c r="I368" s="48">
        <v>16</v>
      </c>
      <c r="J368" s="48"/>
      <c r="K368" s="65"/>
      <c r="L368" s="98" t="s">
        <v>122</v>
      </c>
      <c r="M368" s="63"/>
    </row>
    <row r="369" s="213" customFormat="1" spans="1:13">
      <c r="A369" s="48"/>
      <c r="B369" s="48"/>
      <c r="C369" s="48"/>
      <c r="D369" s="48"/>
      <c r="E369" s="48"/>
      <c r="F369" s="259"/>
      <c r="G369" s="48" t="s">
        <v>190</v>
      </c>
      <c r="H369" s="48">
        <f t="shared" si="8"/>
        <v>124</v>
      </c>
      <c r="I369" s="48">
        <v>16</v>
      </c>
      <c r="J369" s="48"/>
      <c r="K369" s="65"/>
      <c r="L369" s="98" t="s">
        <v>122</v>
      </c>
      <c r="M369" s="63"/>
    </row>
    <row r="370" s="213" customFormat="1" spans="1:13">
      <c r="A370" s="48"/>
      <c r="B370" s="48"/>
      <c r="C370" s="48"/>
      <c r="D370" s="48"/>
      <c r="E370" s="48"/>
      <c r="F370" s="259"/>
      <c r="G370" s="259" t="s">
        <v>120</v>
      </c>
      <c r="H370" s="48">
        <f t="shared" si="8"/>
        <v>140</v>
      </c>
      <c r="I370" s="48">
        <v>4</v>
      </c>
      <c r="J370" s="48"/>
      <c r="K370" s="65"/>
      <c r="L370" s="98"/>
      <c r="M370" s="63"/>
    </row>
    <row r="371" s="213" customFormat="1" spans="1:13">
      <c r="A371" s="48"/>
      <c r="B371" s="48"/>
      <c r="C371" s="48"/>
      <c r="D371" s="48"/>
      <c r="E371" s="48"/>
      <c r="F371" s="259"/>
      <c r="G371" s="48" t="s">
        <v>191</v>
      </c>
      <c r="H371" s="48">
        <f t="shared" si="8"/>
        <v>144</v>
      </c>
      <c r="I371" s="48">
        <v>16</v>
      </c>
      <c r="J371" s="48"/>
      <c r="K371" s="65"/>
      <c r="L371" s="98" t="s">
        <v>122</v>
      </c>
      <c r="M371" s="63"/>
    </row>
    <row r="372" s="213" customFormat="1" spans="1:13">
      <c r="A372" s="48"/>
      <c r="B372" s="48"/>
      <c r="C372" s="48"/>
      <c r="D372" s="48"/>
      <c r="E372" s="48"/>
      <c r="F372" s="259"/>
      <c r="G372" s="48" t="s">
        <v>192</v>
      </c>
      <c r="H372" s="48">
        <f t="shared" si="8"/>
        <v>160</v>
      </c>
      <c r="I372" s="48">
        <v>16</v>
      </c>
      <c r="J372" s="48"/>
      <c r="K372" s="65"/>
      <c r="L372" s="98" t="s">
        <v>122</v>
      </c>
      <c r="M372" s="66"/>
    </row>
    <row r="373" s="211" customFormat="1" spans="1:13">
      <c r="A373" s="269" t="s">
        <v>193</v>
      </c>
      <c r="B373" s="270" t="s">
        <v>194</v>
      </c>
      <c r="C373" s="269" t="s">
        <v>195</v>
      </c>
      <c r="D373" s="271" t="s">
        <v>85</v>
      </c>
      <c r="E373" s="272">
        <v>7017</v>
      </c>
      <c r="F373" s="272" t="s">
        <v>17</v>
      </c>
      <c r="G373" s="273" t="s">
        <v>18</v>
      </c>
      <c r="H373" s="274">
        <v>0</v>
      </c>
      <c r="I373" s="270">
        <v>4</v>
      </c>
      <c r="J373" s="275" t="s">
        <v>77</v>
      </c>
      <c r="K373" s="270">
        <v>200</v>
      </c>
      <c r="L373" s="276"/>
      <c r="M373" s="272">
        <v>1103202</v>
      </c>
    </row>
    <row r="374" s="211" customFormat="1" spans="1:13">
      <c r="A374" s="277"/>
      <c r="B374" s="278"/>
      <c r="C374" s="277"/>
      <c r="D374" s="278"/>
      <c r="E374" s="279"/>
      <c r="F374" s="279"/>
      <c r="G374" s="273" t="s">
        <v>20</v>
      </c>
      <c r="H374" s="274">
        <v>4</v>
      </c>
      <c r="I374" s="270">
        <v>4</v>
      </c>
      <c r="J374" s="280"/>
      <c r="K374" s="270"/>
      <c r="L374" s="276"/>
      <c r="M374" s="279"/>
    </row>
    <row r="375" s="211" customFormat="1" spans="1:13">
      <c r="A375" s="277"/>
      <c r="B375" s="278"/>
      <c r="C375" s="277"/>
      <c r="D375" s="278"/>
      <c r="E375" s="279"/>
      <c r="F375" s="279"/>
      <c r="G375" s="281" t="s">
        <v>89</v>
      </c>
      <c r="H375" s="274">
        <v>8</v>
      </c>
      <c r="I375" s="270">
        <v>4</v>
      </c>
      <c r="J375" s="280"/>
      <c r="K375" s="270"/>
      <c r="L375" s="276"/>
      <c r="M375" s="279"/>
    </row>
    <row r="376" s="211" customFormat="1" spans="1:13">
      <c r="A376" s="282"/>
      <c r="B376" s="283"/>
      <c r="C376" s="282"/>
      <c r="D376" s="283"/>
      <c r="E376" s="284"/>
      <c r="F376" s="284"/>
      <c r="G376" s="273" t="s">
        <v>196</v>
      </c>
      <c r="H376" s="274">
        <v>12</v>
      </c>
      <c r="I376" s="270">
        <v>96</v>
      </c>
      <c r="J376" s="285"/>
      <c r="K376" s="270"/>
      <c r="L376" s="276"/>
      <c r="M376" s="284"/>
    </row>
    <row r="377" s="211" customFormat="1" spans="1:13">
      <c r="A377" s="269" t="s">
        <v>197</v>
      </c>
      <c r="B377" s="271" t="s">
        <v>198</v>
      </c>
      <c r="C377" s="269" t="s">
        <v>199</v>
      </c>
      <c r="D377" s="271" t="s">
        <v>85</v>
      </c>
      <c r="E377" s="272">
        <v>7018</v>
      </c>
      <c r="F377" s="272" t="s">
        <v>17</v>
      </c>
      <c r="G377" s="273" t="s">
        <v>18</v>
      </c>
      <c r="H377" s="274">
        <v>0</v>
      </c>
      <c r="I377" s="270">
        <v>4</v>
      </c>
      <c r="J377" s="275" t="s">
        <v>19</v>
      </c>
      <c r="K377" s="270">
        <v>200</v>
      </c>
      <c r="L377" s="276"/>
      <c r="M377" s="272">
        <v>1303203</v>
      </c>
    </row>
    <row r="378" s="211" customFormat="1" spans="1:13">
      <c r="A378" s="277"/>
      <c r="B378" s="278"/>
      <c r="C378" s="277"/>
      <c r="D378" s="278"/>
      <c r="E378" s="279"/>
      <c r="F378" s="279"/>
      <c r="G378" s="273" t="s">
        <v>20</v>
      </c>
      <c r="H378" s="274">
        <v>4</v>
      </c>
      <c r="I378" s="270">
        <v>4</v>
      </c>
      <c r="J378" s="280"/>
      <c r="K378" s="270"/>
      <c r="L378" s="276"/>
      <c r="M378" s="279"/>
    </row>
    <row r="379" s="211" customFormat="1" spans="1:13">
      <c r="A379" s="277"/>
      <c r="B379" s="278"/>
      <c r="C379" s="277"/>
      <c r="D379" s="278"/>
      <c r="E379" s="279"/>
      <c r="F379" s="279"/>
      <c r="G379" s="281" t="s">
        <v>89</v>
      </c>
      <c r="H379" s="274">
        <v>8</v>
      </c>
      <c r="I379" s="270">
        <v>4</v>
      </c>
      <c r="J379" s="280"/>
      <c r="K379" s="270"/>
      <c r="L379" s="276"/>
      <c r="M379" s="279"/>
    </row>
    <row r="380" s="211" customFormat="1" spans="1:13">
      <c r="A380" s="282"/>
      <c r="B380" s="283"/>
      <c r="C380" s="282"/>
      <c r="D380" s="283"/>
      <c r="E380" s="284"/>
      <c r="F380" s="284"/>
      <c r="G380" s="273" t="s">
        <v>196</v>
      </c>
      <c r="H380" s="274">
        <v>12</v>
      </c>
      <c r="I380" s="270">
        <v>96</v>
      </c>
      <c r="J380" s="285"/>
      <c r="K380" s="270"/>
      <c r="L380" s="276"/>
      <c r="M380" s="284"/>
    </row>
    <row r="381" spans="1:13">
      <c r="A381" s="286" t="s">
        <v>200</v>
      </c>
      <c r="B381" s="286" t="s">
        <v>201</v>
      </c>
      <c r="C381" s="287" t="s">
        <v>202</v>
      </c>
      <c r="D381" s="288" t="s">
        <v>16</v>
      </c>
      <c r="E381" s="288">
        <v>7019</v>
      </c>
      <c r="F381" s="288" t="s">
        <v>203</v>
      </c>
      <c r="G381" s="289" t="s">
        <v>18</v>
      </c>
      <c r="H381" s="290">
        <v>0</v>
      </c>
      <c r="I381" s="291">
        <v>4</v>
      </c>
      <c r="J381" s="292" t="s">
        <v>71</v>
      </c>
      <c r="K381" s="292">
        <v>20</v>
      </c>
      <c r="L381" s="293"/>
      <c r="M381" s="288">
        <v>1201104</v>
      </c>
    </row>
    <row r="382" spans="1:13">
      <c r="A382" s="294"/>
      <c r="B382" s="294"/>
      <c r="C382" s="295"/>
      <c r="D382" s="296"/>
      <c r="E382" s="296"/>
      <c r="F382" s="296"/>
      <c r="G382" s="289" t="s">
        <v>20</v>
      </c>
      <c r="H382" s="290">
        <f t="shared" ref="H382:H389" si="9">H381+I381</f>
        <v>4</v>
      </c>
      <c r="I382" s="291">
        <v>4</v>
      </c>
      <c r="J382" s="297"/>
      <c r="K382" s="297"/>
      <c r="L382" s="293"/>
      <c r="M382" s="296"/>
    </row>
    <row r="383" spans="1:13">
      <c r="A383" s="294"/>
      <c r="B383" s="294"/>
      <c r="C383" s="295"/>
      <c r="D383" s="296"/>
      <c r="E383" s="296"/>
      <c r="F383" s="296"/>
      <c r="G383" s="289" t="s">
        <v>204</v>
      </c>
      <c r="H383" s="290">
        <f t="shared" si="9"/>
        <v>8</v>
      </c>
      <c r="I383" s="291">
        <v>4</v>
      </c>
      <c r="J383" s="297"/>
      <c r="K383" s="297"/>
      <c r="L383" s="293"/>
      <c r="M383" s="296"/>
    </row>
    <row r="384" spans="1:13">
      <c r="A384" s="294"/>
      <c r="B384" s="294"/>
      <c r="C384" s="295"/>
      <c r="D384" s="296"/>
      <c r="E384" s="296"/>
      <c r="F384" s="296"/>
      <c r="G384" s="289" t="s">
        <v>205</v>
      </c>
      <c r="H384" s="290">
        <f t="shared" si="9"/>
        <v>12</v>
      </c>
      <c r="I384" s="291">
        <v>4</v>
      </c>
      <c r="J384" s="297"/>
      <c r="K384" s="297"/>
      <c r="L384" s="293"/>
      <c r="M384" s="296"/>
    </row>
    <row r="385" spans="1:13">
      <c r="A385" s="294"/>
      <c r="B385" s="294"/>
      <c r="C385" s="295"/>
      <c r="D385" s="296"/>
      <c r="E385" s="296"/>
      <c r="F385" s="296"/>
      <c r="G385" s="289" t="s">
        <v>206</v>
      </c>
      <c r="H385" s="290">
        <f t="shared" si="9"/>
        <v>16</v>
      </c>
      <c r="I385" s="291">
        <v>4</v>
      </c>
      <c r="J385" s="297"/>
      <c r="K385" s="297"/>
      <c r="L385" s="293"/>
      <c r="M385" s="296"/>
    </row>
    <row r="386" spans="1:13">
      <c r="A386" s="294"/>
      <c r="B386" s="294"/>
      <c r="C386" s="295"/>
      <c r="D386" s="296"/>
      <c r="E386" s="296"/>
      <c r="F386" s="296"/>
      <c r="G386" s="289" t="s">
        <v>207</v>
      </c>
      <c r="H386" s="290">
        <f t="shared" si="9"/>
        <v>20</v>
      </c>
      <c r="I386" s="291">
        <v>4</v>
      </c>
      <c r="J386" s="297"/>
      <c r="K386" s="297"/>
      <c r="L386" s="293"/>
      <c r="M386" s="296"/>
    </row>
    <row r="387" spans="1:13">
      <c r="A387" s="294"/>
      <c r="B387" s="294"/>
      <c r="C387" s="295"/>
      <c r="D387" s="296"/>
      <c r="E387" s="296"/>
      <c r="F387" s="296"/>
      <c r="G387" s="289" t="s">
        <v>20</v>
      </c>
      <c r="H387" s="290">
        <f t="shared" si="9"/>
        <v>24</v>
      </c>
      <c r="I387" s="291">
        <v>4</v>
      </c>
      <c r="J387" s="297"/>
      <c r="K387" s="297"/>
      <c r="L387" s="293"/>
      <c r="M387" s="296"/>
    </row>
    <row r="388" spans="1:13">
      <c r="A388" s="294"/>
      <c r="B388" s="294"/>
      <c r="C388" s="295"/>
      <c r="D388" s="296"/>
      <c r="E388" s="296"/>
      <c r="F388" s="296"/>
      <c r="G388" s="289" t="s">
        <v>29</v>
      </c>
      <c r="H388" s="290">
        <f t="shared" si="9"/>
        <v>28</v>
      </c>
      <c r="I388" s="291">
        <v>4</v>
      </c>
      <c r="J388" s="297"/>
      <c r="K388" s="297"/>
      <c r="L388" s="293"/>
      <c r="M388" s="296"/>
    </row>
    <row r="389" spans="1:13">
      <c r="A389" s="294"/>
      <c r="B389" s="294"/>
      <c r="C389" s="295"/>
      <c r="D389" s="296"/>
      <c r="E389" s="296"/>
      <c r="F389" s="296"/>
      <c r="G389" s="289" t="s">
        <v>208</v>
      </c>
      <c r="H389" s="290">
        <f t="shared" si="9"/>
        <v>32</v>
      </c>
      <c r="I389" s="291">
        <v>4</v>
      </c>
      <c r="J389" s="297"/>
      <c r="K389" s="297"/>
      <c r="L389" s="293"/>
      <c r="M389" s="296"/>
    </row>
    <row r="390" ht="18" customHeight="1" spans="1:13">
      <c r="A390" s="294"/>
      <c r="B390" s="294"/>
      <c r="C390" s="295"/>
      <c r="D390" s="296"/>
      <c r="E390" s="296"/>
      <c r="F390" s="296"/>
      <c r="G390" s="289" t="s">
        <v>35</v>
      </c>
      <c r="H390" s="290">
        <v>36</v>
      </c>
      <c r="I390" s="291">
        <v>4</v>
      </c>
      <c r="J390" s="297"/>
      <c r="K390" s="297"/>
      <c r="L390" s="293"/>
      <c r="M390" s="296"/>
    </row>
    <row r="391" ht="17" customHeight="1" spans="1:13">
      <c r="A391" s="294"/>
      <c r="B391" s="294"/>
      <c r="C391" s="295"/>
      <c r="D391" s="296"/>
      <c r="E391" s="296"/>
      <c r="F391" s="296"/>
      <c r="G391" s="289" t="s">
        <v>48</v>
      </c>
      <c r="H391" s="290">
        <v>40</v>
      </c>
      <c r="I391" s="291">
        <v>4</v>
      </c>
      <c r="J391" s="297"/>
      <c r="K391" s="297"/>
      <c r="L391" s="293"/>
      <c r="M391" s="296"/>
    </row>
    <row r="392" spans="1:13">
      <c r="A392" s="286" t="s">
        <v>209</v>
      </c>
      <c r="B392" s="286" t="s">
        <v>210</v>
      </c>
      <c r="C392" s="287" t="s">
        <v>202</v>
      </c>
      <c r="D392" s="288" t="s">
        <v>211</v>
      </c>
      <c r="E392" s="288">
        <v>7020</v>
      </c>
      <c r="F392" s="288" t="s">
        <v>203</v>
      </c>
      <c r="G392" s="289" t="s">
        <v>18</v>
      </c>
      <c r="H392" s="290">
        <v>0</v>
      </c>
      <c r="I392" s="291">
        <v>4</v>
      </c>
      <c r="J392" s="292" t="s">
        <v>19</v>
      </c>
      <c r="K392" s="291">
        <v>20</v>
      </c>
      <c r="L392" s="293"/>
      <c r="M392" s="288">
        <v>1301109</v>
      </c>
    </row>
    <row r="393" spans="1:13">
      <c r="A393" s="294"/>
      <c r="B393" s="294"/>
      <c r="C393" s="294"/>
      <c r="D393" s="296"/>
      <c r="E393" s="296"/>
      <c r="F393" s="296"/>
      <c r="G393" s="289" t="s">
        <v>20</v>
      </c>
      <c r="H393" s="290">
        <f t="shared" ref="H393:H400" si="10">H392+I392</f>
        <v>4</v>
      </c>
      <c r="I393" s="291">
        <v>4</v>
      </c>
      <c r="J393" s="297"/>
      <c r="K393" s="291"/>
      <c r="L393" s="293"/>
      <c r="M393" s="296"/>
    </row>
    <row r="394" spans="1:13">
      <c r="A394" s="294"/>
      <c r="B394" s="294"/>
      <c r="C394" s="294"/>
      <c r="D394" s="296"/>
      <c r="E394" s="296"/>
      <c r="F394" s="296"/>
      <c r="G394" s="289" t="s">
        <v>204</v>
      </c>
      <c r="H394" s="290">
        <f t="shared" si="10"/>
        <v>8</v>
      </c>
      <c r="I394" s="291">
        <v>4</v>
      </c>
      <c r="J394" s="297"/>
      <c r="K394" s="291"/>
      <c r="L394" s="293"/>
      <c r="M394" s="296"/>
    </row>
    <row r="395" spans="1:13">
      <c r="A395" s="294"/>
      <c r="B395" s="294"/>
      <c r="C395" s="294"/>
      <c r="D395" s="296"/>
      <c r="E395" s="296"/>
      <c r="F395" s="296"/>
      <c r="G395" s="289" t="s">
        <v>205</v>
      </c>
      <c r="H395" s="290">
        <f t="shared" si="10"/>
        <v>12</v>
      </c>
      <c r="I395" s="291">
        <v>4</v>
      </c>
      <c r="J395" s="297"/>
      <c r="K395" s="291"/>
      <c r="L395" s="293"/>
      <c r="M395" s="296"/>
    </row>
    <row r="396" spans="1:13">
      <c r="A396" s="294"/>
      <c r="B396" s="294"/>
      <c r="C396" s="294"/>
      <c r="D396" s="296"/>
      <c r="E396" s="296"/>
      <c r="F396" s="296"/>
      <c r="G396" s="289" t="s">
        <v>206</v>
      </c>
      <c r="H396" s="290">
        <f t="shared" si="10"/>
        <v>16</v>
      </c>
      <c r="I396" s="291">
        <v>4</v>
      </c>
      <c r="J396" s="297"/>
      <c r="K396" s="291"/>
      <c r="L396" s="293"/>
      <c r="M396" s="296"/>
    </row>
    <row r="397" spans="1:13">
      <c r="A397" s="294"/>
      <c r="B397" s="294"/>
      <c r="C397" s="294"/>
      <c r="D397" s="296"/>
      <c r="E397" s="296"/>
      <c r="F397" s="296"/>
      <c r="G397" s="289" t="s">
        <v>207</v>
      </c>
      <c r="H397" s="290">
        <f t="shared" si="10"/>
        <v>20</v>
      </c>
      <c r="I397" s="291">
        <v>4</v>
      </c>
      <c r="J397" s="297"/>
      <c r="K397" s="291"/>
      <c r="L397" s="293"/>
      <c r="M397" s="296"/>
    </row>
    <row r="398" spans="1:13">
      <c r="A398" s="294"/>
      <c r="B398" s="294"/>
      <c r="C398" s="294"/>
      <c r="D398" s="296"/>
      <c r="E398" s="296"/>
      <c r="F398" s="296"/>
      <c r="G398" s="289" t="s">
        <v>20</v>
      </c>
      <c r="H398" s="290">
        <f t="shared" si="10"/>
        <v>24</v>
      </c>
      <c r="I398" s="291">
        <v>4</v>
      </c>
      <c r="J398" s="297"/>
      <c r="K398" s="291"/>
      <c r="L398" s="293"/>
      <c r="M398" s="296"/>
    </row>
    <row r="399" spans="1:13">
      <c r="A399" s="294"/>
      <c r="B399" s="294"/>
      <c r="C399" s="294"/>
      <c r="D399" s="296"/>
      <c r="E399" s="296"/>
      <c r="F399" s="296"/>
      <c r="G399" s="289" t="s">
        <v>29</v>
      </c>
      <c r="H399" s="290">
        <f t="shared" si="10"/>
        <v>28</v>
      </c>
      <c r="I399" s="291">
        <v>4</v>
      </c>
      <c r="J399" s="297"/>
      <c r="K399" s="291"/>
      <c r="L399" s="293"/>
      <c r="M399" s="296"/>
    </row>
    <row r="400" spans="1:13">
      <c r="A400" s="294"/>
      <c r="B400" s="294"/>
      <c r="C400" s="294"/>
      <c r="D400" s="296"/>
      <c r="E400" s="296"/>
      <c r="F400" s="296"/>
      <c r="G400" s="289" t="s">
        <v>208</v>
      </c>
      <c r="H400" s="290">
        <f t="shared" si="10"/>
        <v>32</v>
      </c>
      <c r="I400" s="291">
        <v>4</v>
      </c>
      <c r="J400" s="297"/>
      <c r="K400" s="291"/>
      <c r="L400" s="293"/>
      <c r="M400" s="296"/>
    </row>
    <row r="401" spans="1:13">
      <c r="A401" s="294"/>
      <c r="B401" s="294"/>
      <c r="C401" s="294"/>
      <c r="D401" s="296"/>
      <c r="E401" s="296"/>
      <c r="F401" s="296"/>
      <c r="G401" s="289" t="s">
        <v>35</v>
      </c>
      <c r="H401" s="290">
        <v>36</v>
      </c>
      <c r="I401" s="291">
        <v>4</v>
      </c>
      <c r="J401" s="297"/>
      <c r="K401" s="291"/>
      <c r="L401" s="293"/>
      <c r="M401" s="296"/>
    </row>
    <row r="402" spans="1:13">
      <c r="A402" s="294"/>
      <c r="B402" s="294"/>
      <c r="C402" s="294"/>
      <c r="D402" s="296"/>
      <c r="E402" s="296"/>
      <c r="F402" s="296"/>
      <c r="G402" s="289" t="s">
        <v>48</v>
      </c>
      <c r="H402" s="290">
        <v>40</v>
      </c>
      <c r="I402" s="291">
        <v>4</v>
      </c>
      <c r="J402" s="297"/>
      <c r="K402" s="291"/>
      <c r="L402" s="293"/>
      <c r="M402" s="296"/>
    </row>
    <row r="403" spans="1:13">
      <c r="A403" s="48" t="s">
        <v>54</v>
      </c>
      <c r="B403" s="48" t="s">
        <v>212</v>
      </c>
      <c r="C403" s="48" t="s">
        <v>213</v>
      </c>
      <c r="D403" s="48" t="s">
        <v>118</v>
      </c>
      <c r="E403" s="48">
        <v>7028</v>
      </c>
      <c r="F403" s="259" t="s">
        <v>86</v>
      </c>
      <c r="G403" s="259" t="s">
        <v>134</v>
      </c>
      <c r="H403" s="48">
        <v>0</v>
      </c>
      <c r="I403" s="48">
        <v>4</v>
      </c>
      <c r="J403" s="48" t="s">
        <v>135</v>
      </c>
      <c r="K403" s="48">
        <v>100</v>
      </c>
      <c r="L403" s="48"/>
      <c r="M403" s="61">
        <v>1502202</v>
      </c>
    </row>
    <row r="404" spans="1:13">
      <c r="A404" s="48"/>
      <c r="B404" s="48"/>
      <c r="C404" s="48"/>
      <c r="D404" s="48"/>
      <c r="E404" s="48"/>
      <c r="F404" s="259"/>
      <c r="G404" s="259" t="s">
        <v>120</v>
      </c>
      <c r="H404" s="48">
        <v>4</v>
      </c>
      <c r="I404" s="48">
        <v>4</v>
      </c>
      <c r="J404" s="48"/>
      <c r="K404" s="48"/>
      <c r="L404" s="48"/>
      <c r="M404" s="63"/>
    </row>
    <row r="405" spans="1:13">
      <c r="A405" s="48"/>
      <c r="B405" s="48"/>
      <c r="C405" s="48"/>
      <c r="D405" s="48"/>
      <c r="E405" s="48"/>
      <c r="F405" s="259"/>
      <c r="G405" s="48" t="s">
        <v>214</v>
      </c>
      <c r="H405" s="48">
        <v>8</v>
      </c>
      <c r="I405" s="48">
        <v>16</v>
      </c>
      <c r="J405" s="48"/>
      <c r="K405" s="48"/>
      <c r="L405" s="298" t="str">
        <f>IF(RIGHT(G405,5)="FRAME","扩展帧CAN消息","")</f>
        <v>扩展帧CAN消息</v>
      </c>
      <c r="M405" s="63"/>
    </row>
    <row r="406" spans="1:13">
      <c r="A406" s="48"/>
      <c r="B406" s="48"/>
      <c r="C406" s="48"/>
      <c r="D406" s="48"/>
      <c r="E406" s="48"/>
      <c r="F406" s="259"/>
      <c r="G406" s="48" t="s">
        <v>215</v>
      </c>
      <c r="H406" s="48">
        <f t="shared" ref="H406:H416" si="11">H405+I405</f>
        <v>24</v>
      </c>
      <c r="I406" s="48">
        <v>16</v>
      </c>
      <c r="J406" s="48"/>
      <c r="K406" s="48"/>
      <c r="L406" s="298" t="str">
        <f t="shared" ref="L406:L437" si="12">IF(RIGHT(G406,5)="FRAME","扩展帧CAN消息","")</f>
        <v>扩展帧CAN消息</v>
      </c>
      <c r="M406" s="63"/>
    </row>
    <row r="407" spans="1:13">
      <c r="A407" s="48"/>
      <c r="B407" s="48"/>
      <c r="C407" s="48"/>
      <c r="D407" s="48"/>
      <c r="E407" s="48"/>
      <c r="F407" s="259"/>
      <c r="G407" s="48" t="s">
        <v>216</v>
      </c>
      <c r="H407" s="48">
        <f t="shared" si="11"/>
        <v>40</v>
      </c>
      <c r="I407" s="48">
        <v>16</v>
      </c>
      <c r="J407" s="48"/>
      <c r="K407" s="48"/>
      <c r="L407" s="298" t="str">
        <f t="shared" si="12"/>
        <v>扩展帧CAN消息</v>
      </c>
      <c r="M407" s="63"/>
    </row>
    <row r="408" spans="1:13">
      <c r="A408" s="48"/>
      <c r="B408" s="48"/>
      <c r="C408" s="48"/>
      <c r="D408" s="48"/>
      <c r="E408" s="48"/>
      <c r="F408" s="259"/>
      <c r="G408" s="48" t="s">
        <v>217</v>
      </c>
      <c r="H408" s="48">
        <f t="shared" si="11"/>
        <v>56</v>
      </c>
      <c r="I408" s="48">
        <v>16</v>
      </c>
      <c r="J408" s="48"/>
      <c r="K408" s="48"/>
      <c r="L408" s="298" t="str">
        <f t="shared" si="12"/>
        <v>扩展帧CAN消息</v>
      </c>
      <c r="M408" s="63"/>
    </row>
    <row r="409" spans="1:13">
      <c r="A409" s="48"/>
      <c r="B409" s="48"/>
      <c r="C409" s="48"/>
      <c r="D409" s="48"/>
      <c r="E409" s="48"/>
      <c r="F409" s="259"/>
      <c r="G409" s="259" t="s">
        <v>120</v>
      </c>
      <c r="H409" s="48">
        <f t="shared" si="11"/>
        <v>72</v>
      </c>
      <c r="I409" s="48">
        <v>4</v>
      </c>
      <c r="J409" s="48"/>
      <c r="K409" s="48"/>
      <c r="L409" s="299" t="str">
        <f t="shared" si="12"/>
        <v/>
      </c>
      <c r="M409" s="63"/>
    </row>
    <row r="410" spans="1:13">
      <c r="A410" s="48"/>
      <c r="B410" s="48"/>
      <c r="C410" s="48"/>
      <c r="D410" s="48"/>
      <c r="E410" s="48"/>
      <c r="F410" s="259"/>
      <c r="G410" s="48" t="s">
        <v>218</v>
      </c>
      <c r="H410" s="48">
        <f t="shared" si="11"/>
        <v>76</v>
      </c>
      <c r="I410" s="48">
        <v>16</v>
      </c>
      <c r="J410" s="48"/>
      <c r="K410" s="48"/>
      <c r="L410" s="298" t="str">
        <f t="shared" si="12"/>
        <v>扩展帧CAN消息</v>
      </c>
      <c r="M410" s="63"/>
    </row>
    <row r="411" spans="1:13">
      <c r="A411" s="48"/>
      <c r="B411" s="48"/>
      <c r="C411" s="48"/>
      <c r="D411" s="48"/>
      <c r="E411" s="48"/>
      <c r="F411" s="259"/>
      <c r="G411" s="48" t="s">
        <v>219</v>
      </c>
      <c r="H411" s="48">
        <f t="shared" si="11"/>
        <v>92</v>
      </c>
      <c r="I411" s="48">
        <v>16</v>
      </c>
      <c r="J411" s="48"/>
      <c r="K411" s="48"/>
      <c r="L411" s="298" t="str">
        <f t="shared" si="12"/>
        <v>扩展帧CAN消息</v>
      </c>
      <c r="M411" s="63"/>
    </row>
    <row r="412" spans="1:13">
      <c r="A412" s="48"/>
      <c r="B412" s="48"/>
      <c r="C412" s="48"/>
      <c r="D412" s="48"/>
      <c r="E412" s="48"/>
      <c r="F412" s="259"/>
      <c r="G412" s="48" t="s">
        <v>220</v>
      </c>
      <c r="H412" s="48">
        <f t="shared" si="11"/>
        <v>108</v>
      </c>
      <c r="I412" s="48">
        <v>16</v>
      </c>
      <c r="J412" s="48"/>
      <c r="K412" s="48"/>
      <c r="L412" s="298" t="str">
        <f t="shared" si="12"/>
        <v>扩展帧CAN消息</v>
      </c>
      <c r="M412" s="63"/>
    </row>
    <row r="413" spans="1:13">
      <c r="A413" s="48"/>
      <c r="B413" s="48"/>
      <c r="C413" s="48"/>
      <c r="D413" s="48"/>
      <c r="E413" s="48"/>
      <c r="F413" s="259"/>
      <c r="G413" s="48" t="s">
        <v>221</v>
      </c>
      <c r="H413" s="48">
        <f t="shared" si="11"/>
        <v>124</v>
      </c>
      <c r="I413" s="48">
        <v>16</v>
      </c>
      <c r="J413" s="48"/>
      <c r="K413" s="48"/>
      <c r="L413" s="298" t="str">
        <f t="shared" si="12"/>
        <v>扩展帧CAN消息</v>
      </c>
      <c r="M413" s="63"/>
    </row>
    <row r="414" spans="1:13">
      <c r="A414" s="48"/>
      <c r="B414" s="48"/>
      <c r="C414" s="48"/>
      <c r="D414" s="48"/>
      <c r="E414" s="48"/>
      <c r="F414" s="259"/>
      <c r="G414" s="259" t="s">
        <v>120</v>
      </c>
      <c r="H414" s="48">
        <f t="shared" si="11"/>
        <v>140</v>
      </c>
      <c r="I414" s="48">
        <v>4</v>
      </c>
      <c r="J414" s="48"/>
      <c r="K414" s="48"/>
      <c r="L414" s="299" t="str">
        <f t="shared" si="12"/>
        <v/>
      </c>
      <c r="M414" s="63"/>
    </row>
    <row r="415" spans="1:13">
      <c r="A415" s="48"/>
      <c r="B415" s="48"/>
      <c r="C415" s="48"/>
      <c r="D415" s="48"/>
      <c r="E415" s="48"/>
      <c r="F415" s="259"/>
      <c r="G415" s="48" t="s">
        <v>222</v>
      </c>
      <c r="H415" s="48">
        <f t="shared" si="11"/>
        <v>144</v>
      </c>
      <c r="I415" s="48">
        <v>16</v>
      </c>
      <c r="J415" s="48"/>
      <c r="K415" s="48"/>
      <c r="L415" s="298" t="str">
        <f t="shared" si="12"/>
        <v>扩展帧CAN消息</v>
      </c>
      <c r="M415" s="63"/>
    </row>
    <row r="416" spans="1:13">
      <c r="A416" s="48"/>
      <c r="B416" s="48"/>
      <c r="C416" s="48"/>
      <c r="D416" s="48"/>
      <c r="E416" s="48"/>
      <c r="F416" s="259"/>
      <c r="G416" s="48" t="s">
        <v>223</v>
      </c>
      <c r="H416" s="48">
        <f t="shared" si="11"/>
        <v>160</v>
      </c>
      <c r="I416" s="48">
        <v>16</v>
      </c>
      <c r="J416" s="48"/>
      <c r="K416" s="48"/>
      <c r="L416" s="298" t="str">
        <f t="shared" si="12"/>
        <v>扩展帧CAN消息</v>
      </c>
      <c r="M416" s="66"/>
    </row>
    <row r="417" spans="1:13">
      <c r="A417" s="300" t="s">
        <v>59</v>
      </c>
      <c r="B417" s="300" t="s">
        <v>224</v>
      </c>
      <c r="C417" s="300" t="s">
        <v>213</v>
      </c>
      <c r="D417" s="300" t="s">
        <v>118</v>
      </c>
      <c r="E417" s="300">
        <v>7029</v>
      </c>
      <c r="F417" s="301" t="s">
        <v>86</v>
      </c>
      <c r="G417" s="302" t="s">
        <v>134</v>
      </c>
      <c r="H417" s="303">
        <v>0</v>
      </c>
      <c r="I417" s="303">
        <v>4</v>
      </c>
      <c r="J417" s="300" t="s">
        <v>135</v>
      </c>
      <c r="K417" s="300">
        <v>500</v>
      </c>
      <c r="L417" s="304" t="str">
        <f t="shared" si="12"/>
        <v/>
      </c>
      <c r="M417" s="300">
        <v>1502202</v>
      </c>
    </row>
    <row r="418" spans="1:13">
      <c r="A418" s="305"/>
      <c r="B418" s="305"/>
      <c r="C418" s="305"/>
      <c r="D418" s="305"/>
      <c r="E418" s="305"/>
      <c r="F418" s="306"/>
      <c r="G418" s="302" t="s">
        <v>120</v>
      </c>
      <c r="H418" s="303">
        <f t="shared" ref="H418:H442" si="13">H417+I417</f>
        <v>4</v>
      </c>
      <c r="I418" s="303">
        <v>4</v>
      </c>
      <c r="J418" s="305"/>
      <c r="K418" s="305"/>
      <c r="L418" s="304" t="str">
        <f t="shared" si="12"/>
        <v/>
      </c>
      <c r="M418" s="305"/>
    </row>
    <row r="419" spans="1:13">
      <c r="A419" s="305"/>
      <c r="B419" s="305"/>
      <c r="C419" s="305"/>
      <c r="D419" s="305"/>
      <c r="E419" s="305"/>
      <c r="F419" s="306"/>
      <c r="G419" s="303" t="s">
        <v>225</v>
      </c>
      <c r="H419" s="303">
        <f t="shared" si="13"/>
        <v>8</v>
      </c>
      <c r="I419" s="303">
        <v>16</v>
      </c>
      <c r="J419" s="305"/>
      <c r="K419" s="305"/>
      <c r="L419" s="307" t="str">
        <f t="shared" si="12"/>
        <v>扩展帧CAN消息</v>
      </c>
      <c r="M419" s="305"/>
    </row>
    <row r="420" spans="1:13">
      <c r="A420" s="305"/>
      <c r="B420" s="305"/>
      <c r="C420" s="305"/>
      <c r="D420" s="305"/>
      <c r="E420" s="305"/>
      <c r="F420" s="306"/>
      <c r="G420" s="303" t="s">
        <v>226</v>
      </c>
      <c r="H420" s="303">
        <f t="shared" si="13"/>
        <v>24</v>
      </c>
      <c r="I420" s="303">
        <v>16</v>
      </c>
      <c r="J420" s="305"/>
      <c r="K420" s="305"/>
      <c r="L420" s="307" t="str">
        <f t="shared" si="12"/>
        <v>扩展帧CAN消息</v>
      </c>
      <c r="M420" s="305"/>
    </row>
    <row r="421" spans="1:13">
      <c r="A421" s="305"/>
      <c r="B421" s="305"/>
      <c r="C421" s="305"/>
      <c r="D421" s="305"/>
      <c r="E421" s="305"/>
      <c r="F421" s="306"/>
      <c r="G421" s="303" t="s">
        <v>227</v>
      </c>
      <c r="H421" s="303">
        <f t="shared" si="13"/>
        <v>40</v>
      </c>
      <c r="I421" s="303">
        <v>16</v>
      </c>
      <c r="J421" s="305"/>
      <c r="K421" s="305"/>
      <c r="L421" s="307" t="str">
        <f t="shared" si="12"/>
        <v>扩展帧CAN消息</v>
      </c>
      <c r="M421" s="305"/>
    </row>
    <row r="422" spans="1:13">
      <c r="A422" s="305"/>
      <c r="B422" s="305"/>
      <c r="C422" s="305"/>
      <c r="D422" s="305"/>
      <c r="E422" s="305"/>
      <c r="F422" s="306"/>
      <c r="G422" s="303" t="s">
        <v>228</v>
      </c>
      <c r="H422" s="303">
        <f t="shared" si="13"/>
        <v>56</v>
      </c>
      <c r="I422" s="303">
        <v>16</v>
      </c>
      <c r="J422" s="305"/>
      <c r="K422" s="305"/>
      <c r="L422" s="307" t="str">
        <f t="shared" si="12"/>
        <v>扩展帧CAN消息</v>
      </c>
      <c r="M422" s="305"/>
    </row>
    <row r="423" spans="1:13">
      <c r="A423" s="305"/>
      <c r="B423" s="305"/>
      <c r="C423" s="305"/>
      <c r="D423" s="305"/>
      <c r="E423" s="305"/>
      <c r="F423" s="306"/>
      <c r="G423" s="302" t="s">
        <v>120</v>
      </c>
      <c r="H423" s="303">
        <f t="shared" si="13"/>
        <v>72</v>
      </c>
      <c r="I423" s="303">
        <v>4</v>
      </c>
      <c r="J423" s="305"/>
      <c r="K423" s="305"/>
      <c r="L423" s="304" t="str">
        <f t="shared" si="12"/>
        <v/>
      </c>
      <c r="M423" s="305"/>
    </row>
    <row r="424" spans="1:13">
      <c r="A424" s="305"/>
      <c r="B424" s="305"/>
      <c r="C424" s="305"/>
      <c r="D424" s="305"/>
      <c r="E424" s="305"/>
      <c r="F424" s="306"/>
      <c r="G424" s="303" t="s">
        <v>229</v>
      </c>
      <c r="H424" s="303">
        <f t="shared" si="13"/>
        <v>76</v>
      </c>
      <c r="I424" s="303">
        <v>16</v>
      </c>
      <c r="J424" s="305"/>
      <c r="K424" s="305"/>
      <c r="L424" s="307" t="str">
        <f t="shared" si="12"/>
        <v>扩展帧CAN消息</v>
      </c>
      <c r="M424" s="305"/>
    </row>
    <row r="425" spans="1:13">
      <c r="A425" s="305"/>
      <c r="B425" s="305"/>
      <c r="C425" s="305"/>
      <c r="D425" s="305"/>
      <c r="E425" s="305"/>
      <c r="F425" s="306"/>
      <c r="G425" s="303" t="s">
        <v>230</v>
      </c>
      <c r="H425" s="303">
        <f t="shared" si="13"/>
        <v>92</v>
      </c>
      <c r="I425" s="303">
        <v>16</v>
      </c>
      <c r="J425" s="305"/>
      <c r="K425" s="305"/>
      <c r="L425" s="307" t="str">
        <f t="shared" si="12"/>
        <v>扩展帧CAN消息</v>
      </c>
      <c r="M425" s="305"/>
    </row>
    <row r="426" spans="1:13">
      <c r="A426" s="305"/>
      <c r="B426" s="305"/>
      <c r="C426" s="305"/>
      <c r="D426" s="305"/>
      <c r="E426" s="305"/>
      <c r="F426" s="306"/>
      <c r="G426" s="303" t="s">
        <v>231</v>
      </c>
      <c r="H426" s="303">
        <f t="shared" si="13"/>
        <v>108</v>
      </c>
      <c r="I426" s="303">
        <v>16</v>
      </c>
      <c r="J426" s="305"/>
      <c r="K426" s="305"/>
      <c r="L426" s="307" t="str">
        <f t="shared" si="12"/>
        <v>扩展帧CAN消息</v>
      </c>
      <c r="M426" s="305"/>
    </row>
    <row r="427" spans="1:13">
      <c r="A427" s="305"/>
      <c r="B427" s="305"/>
      <c r="C427" s="305"/>
      <c r="D427" s="305"/>
      <c r="E427" s="305"/>
      <c r="F427" s="306"/>
      <c r="G427" s="303" t="s">
        <v>232</v>
      </c>
      <c r="H427" s="303">
        <f t="shared" si="13"/>
        <v>124</v>
      </c>
      <c r="I427" s="303">
        <v>16</v>
      </c>
      <c r="J427" s="305"/>
      <c r="K427" s="305"/>
      <c r="L427" s="307" t="str">
        <f t="shared" si="12"/>
        <v>扩展帧CAN消息</v>
      </c>
      <c r="M427" s="305"/>
    </row>
    <row r="428" spans="1:13">
      <c r="A428" s="305"/>
      <c r="B428" s="305"/>
      <c r="C428" s="305"/>
      <c r="D428" s="305"/>
      <c r="E428" s="305"/>
      <c r="F428" s="306"/>
      <c r="G428" s="302" t="s">
        <v>120</v>
      </c>
      <c r="H428" s="303">
        <f t="shared" si="13"/>
        <v>140</v>
      </c>
      <c r="I428" s="303">
        <v>4</v>
      </c>
      <c r="J428" s="305"/>
      <c r="K428" s="305"/>
      <c r="L428" s="304" t="str">
        <f t="shared" si="12"/>
        <v/>
      </c>
      <c r="M428" s="305"/>
    </row>
    <row r="429" spans="1:13">
      <c r="A429" s="305"/>
      <c r="B429" s="305"/>
      <c r="C429" s="305"/>
      <c r="D429" s="305"/>
      <c r="E429" s="305"/>
      <c r="F429" s="306"/>
      <c r="G429" s="303" t="s">
        <v>233</v>
      </c>
      <c r="H429" s="303">
        <f t="shared" si="13"/>
        <v>144</v>
      </c>
      <c r="I429" s="303">
        <v>16</v>
      </c>
      <c r="J429" s="305"/>
      <c r="K429" s="305"/>
      <c r="L429" s="307" t="str">
        <f t="shared" si="12"/>
        <v>扩展帧CAN消息</v>
      </c>
      <c r="M429" s="305"/>
    </row>
    <row r="430" spans="1:13">
      <c r="A430" s="305"/>
      <c r="B430" s="305"/>
      <c r="C430" s="305"/>
      <c r="D430" s="305"/>
      <c r="E430" s="305"/>
      <c r="F430" s="306"/>
      <c r="G430" s="303" t="s">
        <v>234</v>
      </c>
      <c r="H430" s="303">
        <f t="shared" si="13"/>
        <v>160</v>
      </c>
      <c r="I430" s="303">
        <v>16</v>
      </c>
      <c r="J430" s="305"/>
      <c r="K430" s="305"/>
      <c r="L430" s="307" t="str">
        <f t="shared" si="12"/>
        <v>扩展帧CAN消息</v>
      </c>
      <c r="M430" s="305"/>
    </row>
    <row r="431" spans="1:13">
      <c r="A431" s="305"/>
      <c r="B431" s="305"/>
      <c r="C431" s="305"/>
      <c r="D431" s="305"/>
      <c r="E431" s="305"/>
      <c r="F431" s="306"/>
      <c r="G431" s="303" t="s">
        <v>235</v>
      </c>
      <c r="H431" s="303">
        <f t="shared" si="13"/>
        <v>176</v>
      </c>
      <c r="I431" s="303">
        <v>16</v>
      </c>
      <c r="J431" s="305"/>
      <c r="K431" s="305"/>
      <c r="L431" s="307" t="str">
        <f t="shared" si="12"/>
        <v>扩展帧CAN消息</v>
      </c>
      <c r="M431" s="305"/>
    </row>
    <row r="432" spans="1:13">
      <c r="A432" s="305"/>
      <c r="B432" s="305"/>
      <c r="C432" s="305"/>
      <c r="D432" s="305"/>
      <c r="E432" s="305"/>
      <c r="F432" s="306"/>
      <c r="G432" s="303" t="s">
        <v>236</v>
      </c>
      <c r="H432" s="303">
        <f t="shared" si="13"/>
        <v>192</v>
      </c>
      <c r="I432" s="303">
        <v>16</v>
      </c>
      <c r="J432" s="305"/>
      <c r="K432" s="305"/>
      <c r="L432" s="307" t="str">
        <f t="shared" si="12"/>
        <v>扩展帧CAN消息</v>
      </c>
      <c r="M432" s="305"/>
    </row>
    <row r="433" spans="1:13">
      <c r="A433" s="305"/>
      <c r="B433" s="305"/>
      <c r="C433" s="305"/>
      <c r="D433" s="305"/>
      <c r="E433" s="305"/>
      <c r="F433" s="306"/>
      <c r="G433" s="302" t="s">
        <v>120</v>
      </c>
      <c r="H433" s="303">
        <f t="shared" si="13"/>
        <v>208</v>
      </c>
      <c r="I433" s="303">
        <v>4</v>
      </c>
      <c r="J433" s="305"/>
      <c r="K433" s="305"/>
      <c r="L433" s="304" t="str">
        <f t="shared" si="12"/>
        <v/>
      </c>
      <c r="M433" s="305"/>
    </row>
    <row r="434" spans="1:13">
      <c r="A434" s="305"/>
      <c r="B434" s="305"/>
      <c r="C434" s="305"/>
      <c r="D434" s="305"/>
      <c r="E434" s="305"/>
      <c r="F434" s="306"/>
      <c r="G434" s="303" t="s">
        <v>237</v>
      </c>
      <c r="H434" s="303">
        <f t="shared" si="13"/>
        <v>212</v>
      </c>
      <c r="I434" s="303">
        <v>16</v>
      </c>
      <c r="J434" s="305"/>
      <c r="K434" s="305"/>
      <c r="L434" s="307" t="str">
        <f t="shared" si="12"/>
        <v>扩展帧CAN消息</v>
      </c>
      <c r="M434" s="305"/>
    </row>
    <row r="435" spans="1:13">
      <c r="A435" s="305"/>
      <c r="B435" s="305"/>
      <c r="C435" s="305"/>
      <c r="D435" s="305"/>
      <c r="E435" s="305"/>
      <c r="F435" s="306"/>
      <c r="G435" s="303" t="s">
        <v>238</v>
      </c>
      <c r="H435" s="303">
        <f t="shared" si="13"/>
        <v>228</v>
      </c>
      <c r="I435" s="303">
        <v>16</v>
      </c>
      <c r="J435" s="305"/>
      <c r="K435" s="305"/>
      <c r="L435" s="307" t="str">
        <f t="shared" si="12"/>
        <v>扩展帧CAN消息</v>
      </c>
      <c r="M435" s="305"/>
    </row>
    <row r="436" spans="1:13">
      <c r="A436" s="305"/>
      <c r="B436" s="305"/>
      <c r="C436" s="305"/>
      <c r="D436" s="305"/>
      <c r="E436" s="305"/>
      <c r="F436" s="306"/>
      <c r="G436" s="303" t="s">
        <v>239</v>
      </c>
      <c r="H436" s="303">
        <f t="shared" si="13"/>
        <v>244</v>
      </c>
      <c r="I436" s="303">
        <v>16</v>
      </c>
      <c r="J436" s="305"/>
      <c r="K436" s="305"/>
      <c r="L436" s="307" t="str">
        <f t="shared" si="12"/>
        <v>扩展帧CAN消息</v>
      </c>
      <c r="M436" s="305"/>
    </row>
    <row r="437" spans="1:13">
      <c r="A437" s="305"/>
      <c r="B437" s="305"/>
      <c r="C437" s="305"/>
      <c r="D437" s="305"/>
      <c r="E437" s="305"/>
      <c r="F437" s="306"/>
      <c r="G437" s="303" t="s">
        <v>240</v>
      </c>
      <c r="H437" s="303">
        <f t="shared" si="13"/>
        <v>260</v>
      </c>
      <c r="I437" s="303">
        <v>16</v>
      </c>
      <c r="J437" s="305"/>
      <c r="K437" s="305"/>
      <c r="L437" s="307" t="str">
        <f t="shared" si="12"/>
        <v>扩展帧CAN消息</v>
      </c>
      <c r="M437" s="305"/>
    </row>
    <row r="438" spans="1:13">
      <c r="A438" s="305"/>
      <c r="B438" s="305"/>
      <c r="C438" s="305"/>
      <c r="D438" s="305"/>
      <c r="E438" s="305"/>
      <c r="F438" s="306"/>
      <c r="G438" s="302" t="s">
        <v>120</v>
      </c>
      <c r="H438" s="303">
        <f t="shared" si="13"/>
        <v>276</v>
      </c>
      <c r="I438" s="303">
        <v>4</v>
      </c>
      <c r="J438" s="305"/>
      <c r="K438" s="305"/>
      <c r="L438" s="304" t="str">
        <f t="shared" ref="L438:L442" si="14">IF(RIGHT(G438,5)="FRAME","扩展帧CAN消息","")</f>
        <v/>
      </c>
      <c r="M438" s="305"/>
    </row>
    <row r="439" spans="1:13">
      <c r="A439" s="305"/>
      <c r="B439" s="305"/>
      <c r="C439" s="305"/>
      <c r="D439" s="305"/>
      <c r="E439" s="305"/>
      <c r="F439" s="306"/>
      <c r="G439" s="303" t="s">
        <v>241</v>
      </c>
      <c r="H439" s="303">
        <f t="shared" si="13"/>
        <v>280</v>
      </c>
      <c r="I439" s="303">
        <v>16</v>
      </c>
      <c r="J439" s="305"/>
      <c r="K439" s="305"/>
      <c r="L439" s="307" t="str">
        <f t="shared" si="14"/>
        <v>扩展帧CAN消息</v>
      </c>
      <c r="M439" s="305"/>
    </row>
    <row r="440" spans="1:13">
      <c r="A440" s="305"/>
      <c r="B440" s="305"/>
      <c r="C440" s="305"/>
      <c r="D440" s="305"/>
      <c r="E440" s="305"/>
      <c r="F440" s="306"/>
      <c r="G440" s="303" t="s">
        <v>242</v>
      </c>
      <c r="H440" s="303">
        <f t="shared" si="13"/>
        <v>296</v>
      </c>
      <c r="I440" s="303">
        <v>16</v>
      </c>
      <c r="J440" s="305"/>
      <c r="K440" s="305"/>
      <c r="L440" s="307" t="str">
        <f t="shared" si="14"/>
        <v>扩展帧CAN消息</v>
      </c>
      <c r="M440" s="305"/>
    </row>
    <row r="441" spans="1:13">
      <c r="A441" s="305"/>
      <c r="B441" s="305"/>
      <c r="C441" s="305"/>
      <c r="D441" s="305"/>
      <c r="E441" s="305"/>
      <c r="F441" s="306"/>
      <c r="G441" s="303" t="s">
        <v>243</v>
      </c>
      <c r="H441" s="303">
        <f t="shared" si="13"/>
        <v>312</v>
      </c>
      <c r="I441" s="303">
        <v>16</v>
      </c>
      <c r="J441" s="305"/>
      <c r="K441" s="305"/>
      <c r="L441" s="307" t="str">
        <f t="shared" si="14"/>
        <v>扩展帧CAN消息</v>
      </c>
      <c r="M441" s="305"/>
    </row>
    <row r="442" spans="1:13">
      <c r="A442" s="305"/>
      <c r="B442" s="305"/>
      <c r="C442" s="305"/>
      <c r="D442" s="305"/>
      <c r="E442" s="305"/>
      <c r="F442" s="306"/>
      <c r="G442" s="303" t="s">
        <v>244</v>
      </c>
      <c r="H442" s="303">
        <f t="shared" ref="H442:H459" si="15">H441+I441</f>
        <v>328</v>
      </c>
      <c r="I442" s="303">
        <v>16</v>
      </c>
      <c r="J442" s="305"/>
      <c r="K442" s="305"/>
      <c r="L442" s="307" t="str">
        <f t="shared" si="14"/>
        <v>扩展帧CAN消息</v>
      </c>
      <c r="M442" s="305"/>
    </row>
    <row r="443" spans="1:13">
      <c r="A443" s="305"/>
      <c r="B443" s="305"/>
      <c r="C443" s="305"/>
      <c r="D443" s="305"/>
      <c r="E443" s="305"/>
      <c r="F443" s="306"/>
      <c r="G443" s="302" t="s">
        <v>120</v>
      </c>
      <c r="H443" s="303">
        <f t="shared" si="15"/>
        <v>344</v>
      </c>
      <c r="I443" s="303">
        <v>4</v>
      </c>
      <c r="J443" s="305"/>
      <c r="K443" s="305"/>
      <c r="L443" s="307"/>
      <c r="M443" s="305"/>
    </row>
    <row r="444" spans="1:13">
      <c r="A444" s="305"/>
      <c r="B444" s="305"/>
      <c r="C444" s="305"/>
      <c r="D444" s="305"/>
      <c r="E444" s="305"/>
      <c r="F444" s="306"/>
      <c r="G444" s="308" t="s">
        <v>245</v>
      </c>
      <c r="H444" s="303">
        <f t="shared" si="15"/>
        <v>348</v>
      </c>
      <c r="I444" s="303">
        <v>16</v>
      </c>
      <c r="J444" s="305"/>
      <c r="K444" s="305"/>
      <c r="L444" s="307" t="str">
        <f t="shared" ref="L444:L456" si="16">IF(RIGHT(G444,5)="FRAME","扩展帧CAN消息","")</f>
        <v>扩展帧CAN消息</v>
      </c>
      <c r="M444" s="305"/>
    </row>
    <row r="445" spans="1:13">
      <c r="A445" s="305"/>
      <c r="B445" s="305"/>
      <c r="C445" s="305"/>
      <c r="D445" s="305"/>
      <c r="E445" s="305"/>
      <c r="F445" s="306"/>
      <c r="G445" s="308" t="s">
        <v>246</v>
      </c>
      <c r="H445" s="303">
        <f t="shared" si="15"/>
        <v>364</v>
      </c>
      <c r="I445" s="303">
        <v>16</v>
      </c>
      <c r="J445" s="305"/>
      <c r="K445" s="305"/>
      <c r="L445" s="307" t="str">
        <f t="shared" si="16"/>
        <v>扩展帧CAN消息</v>
      </c>
      <c r="M445" s="305"/>
    </row>
    <row r="446" spans="1:13">
      <c r="A446" s="305"/>
      <c r="B446" s="305"/>
      <c r="C446" s="305"/>
      <c r="D446" s="305"/>
      <c r="E446" s="305"/>
      <c r="F446" s="306"/>
      <c r="G446" s="308" t="s">
        <v>247</v>
      </c>
      <c r="H446" s="303">
        <f t="shared" si="15"/>
        <v>380</v>
      </c>
      <c r="I446" s="303">
        <v>16</v>
      </c>
      <c r="J446" s="305"/>
      <c r="K446" s="305"/>
      <c r="L446" s="307" t="str">
        <f t="shared" si="16"/>
        <v>扩展帧CAN消息</v>
      </c>
      <c r="M446" s="305"/>
    </row>
    <row r="447" spans="1:13">
      <c r="A447" s="305"/>
      <c r="B447" s="305"/>
      <c r="C447" s="305"/>
      <c r="D447" s="305"/>
      <c r="E447" s="305"/>
      <c r="F447" s="306"/>
      <c r="G447" s="308" t="s">
        <v>248</v>
      </c>
      <c r="H447" s="303">
        <f t="shared" si="15"/>
        <v>396</v>
      </c>
      <c r="I447" s="303">
        <v>16</v>
      </c>
      <c r="J447" s="305"/>
      <c r="K447" s="305"/>
      <c r="L447" s="307" t="str">
        <f t="shared" si="16"/>
        <v>扩展帧CAN消息</v>
      </c>
      <c r="M447" s="305"/>
    </row>
    <row r="448" spans="1:13">
      <c r="A448" s="305"/>
      <c r="B448" s="305"/>
      <c r="C448" s="305"/>
      <c r="D448" s="305"/>
      <c r="E448" s="305"/>
      <c r="F448" s="306"/>
      <c r="G448" s="309" t="s">
        <v>88</v>
      </c>
      <c r="H448" s="303">
        <f t="shared" si="15"/>
        <v>412</v>
      </c>
      <c r="I448" s="303">
        <v>4</v>
      </c>
      <c r="J448" s="305"/>
      <c r="K448" s="305"/>
      <c r="L448" s="304" t="str">
        <f t="shared" si="16"/>
        <v/>
      </c>
      <c r="M448" s="305"/>
    </row>
    <row r="449" spans="1:13">
      <c r="A449" s="305"/>
      <c r="B449" s="305"/>
      <c r="C449" s="305"/>
      <c r="D449" s="305"/>
      <c r="E449" s="305"/>
      <c r="F449" s="306"/>
      <c r="G449" s="308" t="s">
        <v>249</v>
      </c>
      <c r="H449" s="303">
        <f t="shared" si="15"/>
        <v>416</v>
      </c>
      <c r="I449" s="303">
        <v>16</v>
      </c>
      <c r="J449" s="305"/>
      <c r="K449" s="305"/>
      <c r="L449" s="307" t="str">
        <f t="shared" si="16"/>
        <v>扩展帧CAN消息</v>
      </c>
      <c r="M449" s="305"/>
    </row>
    <row r="450" spans="1:13">
      <c r="A450" s="305"/>
      <c r="B450" s="305"/>
      <c r="C450" s="305"/>
      <c r="D450" s="305"/>
      <c r="E450" s="305"/>
      <c r="F450" s="306"/>
      <c r="G450" s="308" t="s">
        <v>250</v>
      </c>
      <c r="H450" s="303">
        <f t="shared" si="15"/>
        <v>432</v>
      </c>
      <c r="I450" s="303">
        <v>16</v>
      </c>
      <c r="J450" s="305"/>
      <c r="K450" s="305"/>
      <c r="L450" s="307" t="str">
        <f t="shared" si="16"/>
        <v>扩展帧CAN消息</v>
      </c>
      <c r="M450" s="305"/>
    </row>
    <row r="451" spans="1:13">
      <c r="A451" s="305"/>
      <c r="B451" s="305"/>
      <c r="C451" s="305"/>
      <c r="D451" s="305"/>
      <c r="E451" s="305"/>
      <c r="F451" s="306"/>
      <c r="G451" s="308" t="s">
        <v>251</v>
      </c>
      <c r="H451" s="303">
        <f t="shared" si="15"/>
        <v>448</v>
      </c>
      <c r="I451" s="303">
        <v>16</v>
      </c>
      <c r="J451" s="305"/>
      <c r="K451" s="305"/>
      <c r="L451" s="307" t="str">
        <f t="shared" si="16"/>
        <v>扩展帧CAN消息</v>
      </c>
      <c r="M451" s="305"/>
    </row>
    <row r="452" spans="1:13">
      <c r="A452" s="305"/>
      <c r="B452" s="305"/>
      <c r="C452" s="305"/>
      <c r="D452" s="305"/>
      <c r="E452" s="305"/>
      <c r="F452" s="306"/>
      <c r="G452" s="308" t="s">
        <v>252</v>
      </c>
      <c r="H452" s="303">
        <f t="shared" si="15"/>
        <v>464</v>
      </c>
      <c r="I452" s="303">
        <v>16</v>
      </c>
      <c r="J452" s="305"/>
      <c r="K452" s="305"/>
      <c r="L452" s="307" t="str">
        <f t="shared" si="16"/>
        <v>扩展帧CAN消息</v>
      </c>
      <c r="M452" s="305"/>
    </row>
    <row r="453" spans="1:13">
      <c r="A453" s="305"/>
      <c r="B453" s="305"/>
      <c r="C453" s="305"/>
      <c r="D453" s="305"/>
      <c r="E453" s="305"/>
      <c r="F453" s="306"/>
      <c r="G453" s="309" t="s">
        <v>88</v>
      </c>
      <c r="H453" s="303">
        <f t="shared" si="15"/>
        <v>480</v>
      </c>
      <c r="I453" s="303">
        <v>4</v>
      </c>
      <c r="J453" s="305"/>
      <c r="K453" s="305"/>
      <c r="L453" s="304" t="str">
        <f t="shared" si="16"/>
        <v/>
      </c>
      <c r="M453" s="305"/>
    </row>
    <row r="454" spans="1:13">
      <c r="A454" s="305"/>
      <c r="B454" s="305"/>
      <c r="C454" s="305"/>
      <c r="D454" s="305"/>
      <c r="E454" s="305"/>
      <c r="F454" s="306"/>
      <c r="G454" s="308" t="s">
        <v>253</v>
      </c>
      <c r="H454" s="303">
        <f t="shared" si="15"/>
        <v>484</v>
      </c>
      <c r="I454" s="303">
        <v>16</v>
      </c>
      <c r="J454" s="305"/>
      <c r="K454" s="305"/>
      <c r="L454" s="307" t="str">
        <f t="shared" si="16"/>
        <v>扩展帧CAN消息</v>
      </c>
      <c r="M454" s="305"/>
    </row>
    <row r="455" spans="1:13">
      <c r="A455" s="305"/>
      <c r="B455" s="305"/>
      <c r="C455" s="305"/>
      <c r="D455" s="305"/>
      <c r="E455" s="305"/>
      <c r="F455" s="306"/>
      <c r="G455" s="308" t="s">
        <v>254</v>
      </c>
      <c r="H455" s="303">
        <f t="shared" si="15"/>
        <v>500</v>
      </c>
      <c r="I455" s="303">
        <v>16</v>
      </c>
      <c r="J455" s="305"/>
      <c r="K455" s="305"/>
      <c r="L455" s="307" t="str">
        <f t="shared" si="16"/>
        <v>扩展帧CAN消息</v>
      </c>
      <c r="M455" s="305"/>
    </row>
    <row r="456" spans="1:13">
      <c r="A456" s="305"/>
      <c r="B456" s="305"/>
      <c r="C456" s="305"/>
      <c r="D456" s="305"/>
      <c r="E456" s="305"/>
      <c r="F456" s="306"/>
      <c r="G456" s="308" t="s">
        <v>255</v>
      </c>
      <c r="H456" s="303">
        <f t="shared" si="15"/>
        <v>516</v>
      </c>
      <c r="I456" s="303">
        <v>16</v>
      </c>
      <c r="J456" s="305"/>
      <c r="K456" s="305"/>
      <c r="L456" s="307" t="str">
        <f t="shared" si="16"/>
        <v>扩展帧CAN消息</v>
      </c>
      <c r="M456" s="305"/>
    </row>
    <row r="457" spans="1:13">
      <c r="A457" s="71" t="s">
        <v>256</v>
      </c>
      <c r="B457" s="71" t="s">
        <v>257</v>
      </c>
      <c r="C457" s="71" t="s">
        <v>213</v>
      </c>
      <c r="D457" s="71" t="s">
        <v>118</v>
      </c>
      <c r="E457" s="71">
        <v>7058</v>
      </c>
      <c r="F457" s="310" t="s">
        <v>86</v>
      </c>
      <c r="G457" s="311" t="s">
        <v>87</v>
      </c>
      <c r="H457" s="70">
        <v>0</v>
      </c>
      <c r="I457" s="70">
        <v>4</v>
      </c>
      <c r="J457" s="71" t="s">
        <v>135</v>
      </c>
      <c r="K457" s="71">
        <v>500</v>
      </c>
      <c r="L457" s="312" t="str">
        <f t="shared" ref="L457:L482" si="17">IF(RIGHT(G457,5)="FRAME","扩展帧CAN消息","")</f>
        <v/>
      </c>
      <c r="M457" s="71">
        <v>1502202</v>
      </c>
    </row>
    <row r="458" spans="1:13">
      <c r="A458" s="73"/>
      <c r="B458" s="73"/>
      <c r="C458" s="73"/>
      <c r="D458" s="73"/>
      <c r="E458" s="73"/>
      <c r="F458" s="313"/>
      <c r="G458" s="311" t="s">
        <v>88</v>
      </c>
      <c r="H458" s="70">
        <f t="shared" ref="H458:H482" si="18">H457+I457</f>
        <v>4</v>
      </c>
      <c r="I458" s="70">
        <v>4</v>
      </c>
      <c r="J458" s="73"/>
      <c r="K458" s="73"/>
      <c r="L458" s="312" t="str">
        <f t="shared" si="17"/>
        <v/>
      </c>
      <c r="M458" s="73"/>
    </row>
    <row r="459" spans="1:13">
      <c r="A459" s="73"/>
      <c r="B459" s="73"/>
      <c r="C459" s="73"/>
      <c r="D459" s="73"/>
      <c r="E459" s="73"/>
      <c r="F459" s="313"/>
      <c r="G459" s="70" t="s">
        <v>258</v>
      </c>
      <c r="H459" s="70">
        <f t="shared" si="18"/>
        <v>8</v>
      </c>
      <c r="I459" s="70">
        <v>16</v>
      </c>
      <c r="J459" s="73"/>
      <c r="K459" s="73"/>
      <c r="L459" s="314" t="str">
        <f t="shared" si="17"/>
        <v>扩展帧CAN消息</v>
      </c>
      <c r="M459" s="73"/>
    </row>
    <row r="460" spans="1:13">
      <c r="A460" s="73"/>
      <c r="B460" s="73"/>
      <c r="C460" s="73"/>
      <c r="D460" s="73"/>
      <c r="E460" s="73"/>
      <c r="F460" s="313"/>
      <c r="G460" s="70" t="s">
        <v>259</v>
      </c>
      <c r="H460" s="70">
        <f t="shared" si="18"/>
        <v>24</v>
      </c>
      <c r="I460" s="70">
        <v>16</v>
      </c>
      <c r="J460" s="73"/>
      <c r="K460" s="73"/>
      <c r="L460" s="314" t="str">
        <f t="shared" si="17"/>
        <v>扩展帧CAN消息</v>
      </c>
      <c r="M460" s="73"/>
    </row>
    <row r="461" spans="1:13">
      <c r="A461" s="73"/>
      <c r="B461" s="73"/>
      <c r="C461" s="73"/>
      <c r="D461" s="73"/>
      <c r="E461" s="73"/>
      <c r="F461" s="313"/>
      <c r="G461" s="70" t="s">
        <v>260</v>
      </c>
      <c r="H461" s="70">
        <f t="shared" si="18"/>
        <v>40</v>
      </c>
      <c r="I461" s="70">
        <v>16</v>
      </c>
      <c r="J461" s="73"/>
      <c r="K461" s="73"/>
      <c r="L461" s="314" t="str">
        <f t="shared" si="17"/>
        <v>扩展帧CAN消息</v>
      </c>
      <c r="M461" s="73"/>
    </row>
    <row r="462" spans="1:13">
      <c r="A462" s="73"/>
      <c r="B462" s="73"/>
      <c r="C462" s="73"/>
      <c r="D462" s="73"/>
      <c r="E462" s="73"/>
      <c r="F462" s="313"/>
      <c r="G462" s="70" t="s">
        <v>261</v>
      </c>
      <c r="H462" s="70">
        <f t="shared" si="18"/>
        <v>56</v>
      </c>
      <c r="I462" s="70">
        <v>16</v>
      </c>
      <c r="J462" s="73"/>
      <c r="K462" s="73"/>
      <c r="L462" s="314" t="str">
        <f t="shared" si="17"/>
        <v>扩展帧CAN消息</v>
      </c>
      <c r="M462" s="73"/>
    </row>
    <row r="463" spans="1:13">
      <c r="A463" s="73"/>
      <c r="B463" s="73"/>
      <c r="C463" s="73"/>
      <c r="D463" s="73"/>
      <c r="E463" s="73"/>
      <c r="F463" s="313"/>
      <c r="G463" s="311" t="s">
        <v>88</v>
      </c>
      <c r="H463" s="70">
        <f t="shared" si="18"/>
        <v>72</v>
      </c>
      <c r="I463" s="70">
        <v>4</v>
      </c>
      <c r="J463" s="73"/>
      <c r="K463" s="73"/>
      <c r="L463" s="312" t="str">
        <f t="shared" si="17"/>
        <v/>
      </c>
      <c r="M463" s="73"/>
    </row>
    <row r="464" spans="1:13">
      <c r="A464" s="73"/>
      <c r="B464" s="73"/>
      <c r="C464" s="73"/>
      <c r="D464" s="73"/>
      <c r="E464" s="73"/>
      <c r="F464" s="313"/>
      <c r="G464" s="70" t="s">
        <v>262</v>
      </c>
      <c r="H464" s="70">
        <f t="shared" si="18"/>
        <v>76</v>
      </c>
      <c r="I464" s="70">
        <v>16</v>
      </c>
      <c r="J464" s="73"/>
      <c r="K464" s="73"/>
      <c r="L464" s="314" t="str">
        <f t="shared" si="17"/>
        <v>扩展帧CAN消息</v>
      </c>
      <c r="M464" s="73"/>
    </row>
    <row r="465" spans="1:13">
      <c r="A465" s="73"/>
      <c r="B465" s="73"/>
      <c r="C465" s="73"/>
      <c r="D465" s="73"/>
      <c r="E465" s="73"/>
      <c r="F465" s="313"/>
      <c r="G465" s="70" t="s">
        <v>263</v>
      </c>
      <c r="H465" s="70">
        <f t="shared" si="18"/>
        <v>92</v>
      </c>
      <c r="I465" s="70">
        <v>16</v>
      </c>
      <c r="J465" s="73"/>
      <c r="K465" s="73"/>
      <c r="L465" s="314" t="str">
        <f t="shared" si="17"/>
        <v>扩展帧CAN消息</v>
      </c>
      <c r="M465" s="73"/>
    </row>
    <row r="466" spans="1:13">
      <c r="A466" s="73"/>
      <c r="B466" s="73"/>
      <c r="C466" s="73"/>
      <c r="D466" s="73"/>
      <c r="E466" s="73"/>
      <c r="F466" s="313"/>
      <c r="G466" s="70" t="s">
        <v>264</v>
      </c>
      <c r="H466" s="70">
        <f t="shared" si="18"/>
        <v>108</v>
      </c>
      <c r="I466" s="70">
        <v>16</v>
      </c>
      <c r="J466" s="73"/>
      <c r="K466" s="73"/>
      <c r="L466" s="314" t="str">
        <f t="shared" si="17"/>
        <v>扩展帧CAN消息</v>
      </c>
      <c r="M466" s="73"/>
    </row>
    <row r="467" spans="1:13">
      <c r="A467" s="73"/>
      <c r="B467" s="73"/>
      <c r="C467" s="73"/>
      <c r="D467" s="73"/>
      <c r="E467" s="73"/>
      <c r="F467" s="313"/>
      <c r="G467" s="70" t="s">
        <v>265</v>
      </c>
      <c r="H467" s="70">
        <f t="shared" si="18"/>
        <v>124</v>
      </c>
      <c r="I467" s="70">
        <v>16</v>
      </c>
      <c r="J467" s="73"/>
      <c r="K467" s="73"/>
      <c r="L467" s="314" t="str">
        <f t="shared" si="17"/>
        <v>扩展帧CAN消息</v>
      </c>
      <c r="M467" s="73"/>
    </row>
    <row r="468" spans="1:13">
      <c r="A468" s="73"/>
      <c r="B468" s="73"/>
      <c r="C468" s="73"/>
      <c r="D468" s="73"/>
      <c r="E468" s="73"/>
      <c r="F468" s="313"/>
      <c r="G468" s="311" t="s">
        <v>88</v>
      </c>
      <c r="H468" s="70">
        <f t="shared" si="18"/>
        <v>140</v>
      </c>
      <c r="I468" s="70">
        <v>4</v>
      </c>
      <c r="J468" s="73"/>
      <c r="K468" s="73"/>
      <c r="L468" s="312" t="str">
        <f t="shared" si="17"/>
        <v/>
      </c>
      <c r="M468" s="73"/>
    </row>
    <row r="469" spans="1:13">
      <c r="A469" s="73"/>
      <c r="B469" s="73"/>
      <c r="C469" s="73"/>
      <c r="D469" s="73"/>
      <c r="E469" s="73"/>
      <c r="F469" s="313"/>
      <c r="G469" s="70" t="s">
        <v>266</v>
      </c>
      <c r="H469" s="70">
        <f t="shared" si="18"/>
        <v>144</v>
      </c>
      <c r="I469" s="70">
        <v>16</v>
      </c>
      <c r="J469" s="73"/>
      <c r="K469" s="73"/>
      <c r="L469" s="314" t="str">
        <f t="shared" si="17"/>
        <v>扩展帧CAN消息</v>
      </c>
      <c r="M469" s="73"/>
    </row>
    <row r="470" spans="1:13">
      <c r="A470" s="73"/>
      <c r="B470" s="73"/>
      <c r="C470" s="73"/>
      <c r="D470" s="73"/>
      <c r="E470" s="73"/>
      <c r="F470" s="313"/>
      <c r="G470" s="70" t="s">
        <v>267</v>
      </c>
      <c r="H470" s="70">
        <f t="shared" si="18"/>
        <v>160</v>
      </c>
      <c r="I470" s="70">
        <v>16</v>
      </c>
      <c r="J470" s="73"/>
      <c r="K470" s="73"/>
      <c r="L470" s="314" t="str">
        <f t="shared" si="17"/>
        <v>扩展帧CAN消息</v>
      </c>
      <c r="M470" s="73"/>
    </row>
    <row r="471" spans="1:13">
      <c r="A471" s="73"/>
      <c r="B471" s="73"/>
      <c r="C471" s="73"/>
      <c r="D471" s="73"/>
      <c r="E471" s="73"/>
      <c r="F471" s="313"/>
      <c r="G471" s="70" t="s">
        <v>268</v>
      </c>
      <c r="H471" s="70">
        <f t="shared" si="18"/>
        <v>176</v>
      </c>
      <c r="I471" s="70">
        <v>16</v>
      </c>
      <c r="J471" s="73"/>
      <c r="K471" s="73"/>
      <c r="L471" s="314" t="str">
        <f t="shared" si="17"/>
        <v>扩展帧CAN消息</v>
      </c>
      <c r="M471" s="73"/>
    </row>
    <row r="472" spans="1:13">
      <c r="A472" s="73"/>
      <c r="B472" s="73"/>
      <c r="C472" s="73"/>
      <c r="D472" s="73"/>
      <c r="E472" s="73"/>
      <c r="F472" s="313"/>
      <c r="G472" s="70" t="s">
        <v>269</v>
      </c>
      <c r="H472" s="70">
        <f t="shared" si="18"/>
        <v>192</v>
      </c>
      <c r="I472" s="70">
        <v>16</v>
      </c>
      <c r="J472" s="73"/>
      <c r="K472" s="73"/>
      <c r="L472" s="314" t="str">
        <f t="shared" si="17"/>
        <v>扩展帧CAN消息</v>
      </c>
      <c r="M472" s="73"/>
    </row>
    <row r="473" spans="1:13">
      <c r="A473" s="73"/>
      <c r="B473" s="73"/>
      <c r="C473" s="73"/>
      <c r="D473" s="73"/>
      <c r="E473" s="73"/>
      <c r="F473" s="313"/>
      <c r="G473" s="311" t="s">
        <v>88</v>
      </c>
      <c r="H473" s="70">
        <f t="shared" si="18"/>
        <v>208</v>
      </c>
      <c r="I473" s="70">
        <v>4</v>
      </c>
      <c r="J473" s="73"/>
      <c r="K473" s="73"/>
      <c r="L473" s="312" t="str">
        <f t="shared" si="17"/>
        <v/>
      </c>
      <c r="M473" s="73"/>
    </row>
    <row r="474" spans="1:13">
      <c r="A474" s="73"/>
      <c r="B474" s="73"/>
      <c r="C474" s="73"/>
      <c r="D474" s="73"/>
      <c r="E474" s="73"/>
      <c r="F474" s="313"/>
      <c r="G474" s="70" t="s">
        <v>270</v>
      </c>
      <c r="H474" s="70">
        <f t="shared" si="18"/>
        <v>212</v>
      </c>
      <c r="I474" s="70">
        <v>16</v>
      </c>
      <c r="J474" s="73"/>
      <c r="K474" s="73"/>
      <c r="L474" s="314" t="str">
        <f t="shared" si="17"/>
        <v>扩展帧CAN消息</v>
      </c>
      <c r="M474" s="73"/>
    </row>
    <row r="475" spans="1:13">
      <c r="A475" s="73"/>
      <c r="B475" s="73"/>
      <c r="C475" s="73"/>
      <c r="D475" s="73"/>
      <c r="E475" s="73"/>
      <c r="F475" s="313"/>
      <c r="G475" s="70" t="s">
        <v>271</v>
      </c>
      <c r="H475" s="70">
        <f t="shared" si="18"/>
        <v>228</v>
      </c>
      <c r="I475" s="70">
        <v>16</v>
      </c>
      <c r="J475" s="73"/>
      <c r="K475" s="73"/>
      <c r="L475" s="314" t="str">
        <f t="shared" si="17"/>
        <v>扩展帧CAN消息</v>
      </c>
      <c r="M475" s="73"/>
    </row>
    <row r="476" spans="1:13">
      <c r="A476" s="73"/>
      <c r="B476" s="73"/>
      <c r="C476" s="73"/>
      <c r="D476" s="73"/>
      <c r="E476" s="73"/>
      <c r="F476" s="313"/>
      <c r="G476" s="70" t="s">
        <v>272</v>
      </c>
      <c r="H476" s="70">
        <f t="shared" si="18"/>
        <v>244</v>
      </c>
      <c r="I476" s="70">
        <v>16</v>
      </c>
      <c r="J476" s="73"/>
      <c r="K476" s="73"/>
      <c r="L476" s="314" t="str">
        <f t="shared" si="17"/>
        <v>扩展帧CAN消息</v>
      </c>
      <c r="M476" s="73"/>
    </row>
    <row r="477" spans="1:13">
      <c r="A477" s="73"/>
      <c r="B477" s="73"/>
      <c r="C477" s="73"/>
      <c r="D477" s="73"/>
      <c r="E477" s="73"/>
      <c r="F477" s="313"/>
      <c r="G477" s="70" t="s">
        <v>273</v>
      </c>
      <c r="H477" s="70">
        <f t="shared" si="18"/>
        <v>260</v>
      </c>
      <c r="I477" s="70">
        <v>16</v>
      </c>
      <c r="J477" s="73"/>
      <c r="K477" s="73"/>
      <c r="L477" s="314" t="str">
        <f t="shared" si="17"/>
        <v>扩展帧CAN消息</v>
      </c>
      <c r="M477" s="73"/>
    </row>
    <row r="478" spans="1:13">
      <c r="A478" s="73"/>
      <c r="B478" s="73"/>
      <c r="C478" s="73"/>
      <c r="D478" s="73"/>
      <c r="E478" s="73"/>
      <c r="F478" s="313"/>
      <c r="G478" s="311" t="s">
        <v>88</v>
      </c>
      <c r="H478" s="70">
        <f t="shared" si="18"/>
        <v>276</v>
      </c>
      <c r="I478" s="70">
        <v>4</v>
      </c>
      <c r="J478" s="73"/>
      <c r="K478" s="73"/>
      <c r="L478" s="312" t="str">
        <f t="shared" si="17"/>
        <v/>
      </c>
      <c r="M478" s="73"/>
    </row>
    <row r="479" spans="1:13">
      <c r="A479" s="73"/>
      <c r="B479" s="73"/>
      <c r="C479" s="73"/>
      <c r="D479" s="73"/>
      <c r="E479" s="73"/>
      <c r="F479" s="313"/>
      <c r="G479" s="70" t="s">
        <v>274</v>
      </c>
      <c r="H479" s="70">
        <f t="shared" si="18"/>
        <v>280</v>
      </c>
      <c r="I479" s="70">
        <v>16</v>
      </c>
      <c r="J479" s="73"/>
      <c r="K479" s="73"/>
      <c r="L479" s="314" t="str">
        <f t="shared" si="17"/>
        <v>扩展帧CAN消息</v>
      </c>
      <c r="M479" s="73"/>
    </row>
    <row r="480" spans="1:13">
      <c r="A480" s="73"/>
      <c r="B480" s="73"/>
      <c r="C480" s="73"/>
      <c r="D480" s="73"/>
      <c r="E480" s="73"/>
      <c r="F480" s="313"/>
      <c r="G480" s="70" t="s">
        <v>275</v>
      </c>
      <c r="H480" s="70">
        <f t="shared" si="18"/>
        <v>296</v>
      </c>
      <c r="I480" s="70">
        <v>16</v>
      </c>
      <c r="J480" s="73"/>
      <c r="K480" s="73"/>
      <c r="L480" s="314" t="str">
        <f t="shared" si="17"/>
        <v>扩展帧CAN消息</v>
      </c>
      <c r="M480" s="73"/>
    </row>
    <row r="481" spans="1:13">
      <c r="A481" s="73"/>
      <c r="B481" s="73"/>
      <c r="C481" s="73"/>
      <c r="D481" s="73"/>
      <c r="E481" s="73"/>
      <c r="F481" s="313"/>
      <c r="G481" s="70" t="s">
        <v>276</v>
      </c>
      <c r="H481" s="70">
        <f t="shared" si="18"/>
        <v>312</v>
      </c>
      <c r="I481" s="70">
        <v>16</v>
      </c>
      <c r="J481" s="73"/>
      <c r="K481" s="73"/>
      <c r="L481" s="314" t="str">
        <f t="shared" ref="L481:L507" si="19">IF(RIGHT(G481,5)="FRAME","扩展帧CAN消息","")</f>
        <v>扩展帧CAN消息</v>
      </c>
      <c r="M481" s="73"/>
    </row>
    <row r="482" spans="1:13">
      <c r="A482" s="73"/>
      <c r="B482" s="73"/>
      <c r="C482" s="73"/>
      <c r="D482" s="73"/>
      <c r="E482" s="73"/>
      <c r="F482" s="313"/>
      <c r="G482" s="70" t="s">
        <v>277</v>
      </c>
      <c r="H482" s="70">
        <f t="shared" si="18"/>
        <v>328</v>
      </c>
      <c r="I482" s="70">
        <v>16</v>
      </c>
      <c r="J482" s="73"/>
      <c r="K482" s="73"/>
      <c r="L482" s="314" t="str">
        <f t="shared" si="19"/>
        <v>扩展帧CAN消息</v>
      </c>
      <c r="M482" s="73"/>
    </row>
    <row r="483" spans="1:13">
      <c r="A483" s="73"/>
      <c r="B483" s="73"/>
      <c r="C483" s="73"/>
      <c r="D483" s="73"/>
      <c r="E483" s="73"/>
      <c r="F483" s="313"/>
      <c r="G483" s="311" t="s">
        <v>88</v>
      </c>
      <c r="H483" s="70">
        <f t="shared" ref="H483:H507" si="20">H482+I482</f>
        <v>344</v>
      </c>
      <c r="I483" s="70">
        <v>4</v>
      </c>
      <c r="J483" s="73"/>
      <c r="K483" s="73"/>
      <c r="L483" s="314"/>
      <c r="M483" s="73"/>
    </row>
    <row r="484" spans="1:13">
      <c r="A484" s="73"/>
      <c r="B484" s="73"/>
      <c r="C484" s="73"/>
      <c r="D484" s="73"/>
      <c r="E484" s="73"/>
      <c r="F484" s="313"/>
      <c r="G484" s="75" t="s">
        <v>278</v>
      </c>
      <c r="H484" s="70">
        <f t="shared" si="20"/>
        <v>348</v>
      </c>
      <c r="I484" s="70">
        <v>16</v>
      </c>
      <c r="J484" s="73"/>
      <c r="K484" s="73"/>
      <c r="L484" s="314" t="str">
        <f t="shared" si="19"/>
        <v>扩展帧CAN消息</v>
      </c>
      <c r="M484" s="73"/>
    </row>
    <row r="485" spans="1:13">
      <c r="A485" s="73"/>
      <c r="B485" s="73"/>
      <c r="C485" s="73"/>
      <c r="D485" s="73"/>
      <c r="E485" s="73"/>
      <c r="F485" s="313"/>
      <c r="G485" s="75" t="s">
        <v>279</v>
      </c>
      <c r="H485" s="70">
        <f t="shared" si="20"/>
        <v>364</v>
      </c>
      <c r="I485" s="70">
        <v>16</v>
      </c>
      <c r="J485" s="73"/>
      <c r="K485" s="73"/>
      <c r="L485" s="314" t="str">
        <f t="shared" si="19"/>
        <v>扩展帧CAN消息</v>
      </c>
      <c r="M485" s="73"/>
    </row>
    <row r="486" spans="1:13">
      <c r="A486" s="73"/>
      <c r="B486" s="73"/>
      <c r="C486" s="73"/>
      <c r="D486" s="73"/>
      <c r="E486" s="73"/>
      <c r="F486" s="313"/>
      <c r="G486" s="75" t="s">
        <v>280</v>
      </c>
      <c r="H486" s="70">
        <f t="shared" si="20"/>
        <v>380</v>
      </c>
      <c r="I486" s="70">
        <v>16</v>
      </c>
      <c r="J486" s="73"/>
      <c r="K486" s="73"/>
      <c r="L486" s="314" t="str">
        <f t="shared" si="19"/>
        <v>扩展帧CAN消息</v>
      </c>
      <c r="M486" s="73"/>
    </row>
    <row r="487" spans="1:13">
      <c r="A487" s="73"/>
      <c r="B487" s="73"/>
      <c r="C487" s="73"/>
      <c r="D487" s="73"/>
      <c r="E487" s="73"/>
      <c r="F487" s="313"/>
      <c r="G487" s="75" t="s">
        <v>281</v>
      </c>
      <c r="H487" s="70">
        <f t="shared" si="20"/>
        <v>396</v>
      </c>
      <c r="I487" s="70">
        <v>16</v>
      </c>
      <c r="J487" s="73"/>
      <c r="K487" s="73"/>
      <c r="L487" s="314" t="str">
        <f t="shared" si="19"/>
        <v>扩展帧CAN消息</v>
      </c>
      <c r="M487" s="73"/>
    </row>
    <row r="488" spans="1:13">
      <c r="A488" s="73"/>
      <c r="B488" s="73"/>
      <c r="C488" s="73"/>
      <c r="D488" s="73"/>
      <c r="E488" s="73"/>
      <c r="F488" s="313"/>
      <c r="G488" s="149" t="s">
        <v>88</v>
      </c>
      <c r="H488" s="70">
        <f t="shared" si="20"/>
        <v>412</v>
      </c>
      <c r="I488" s="70">
        <v>4</v>
      </c>
      <c r="J488" s="73"/>
      <c r="K488" s="73"/>
      <c r="L488" s="312" t="str">
        <f t="shared" si="19"/>
        <v/>
      </c>
      <c r="M488" s="73"/>
    </row>
    <row r="489" spans="1:13">
      <c r="A489" s="73"/>
      <c r="B489" s="73"/>
      <c r="C489" s="73"/>
      <c r="D489" s="73"/>
      <c r="E489" s="73"/>
      <c r="F489" s="313"/>
      <c r="G489" s="75" t="s">
        <v>282</v>
      </c>
      <c r="H489" s="70">
        <f t="shared" si="20"/>
        <v>416</v>
      </c>
      <c r="I489" s="70">
        <v>16</v>
      </c>
      <c r="J489" s="73"/>
      <c r="K489" s="73"/>
      <c r="L489" s="314" t="str">
        <f t="shared" si="19"/>
        <v>扩展帧CAN消息</v>
      </c>
      <c r="M489" s="73"/>
    </row>
    <row r="490" spans="1:13">
      <c r="A490" s="73"/>
      <c r="B490" s="73"/>
      <c r="C490" s="73"/>
      <c r="D490" s="73"/>
      <c r="E490" s="73"/>
      <c r="F490" s="313"/>
      <c r="G490" s="75" t="s">
        <v>283</v>
      </c>
      <c r="H490" s="70">
        <f t="shared" si="20"/>
        <v>432</v>
      </c>
      <c r="I490" s="70">
        <v>16</v>
      </c>
      <c r="J490" s="73"/>
      <c r="K490" s="73"/>
      <c r="L490" s="314" t="str">
        <f t="shared" si="19"/>
        <v>扩展帧CAN消息</v>
      </c>
      <c r="M490" s="73"/>
    </row>
    <row r="491" spans="1:13">
      <c r="A491" s="73"/>
      <c r="B491" s="73"/>
      <c r="C491" s="73"/>
      <c r="D491" s="73"/>
      <c r="E491" s="73"/>
      <c r="F491" s="313"/>
      <c r="G491" s="75" t="s">
        <v>284</v>
      </c>
      <c r="H491" s="70">
        <f t="shared" si="20"/>
        <v>448</v>
      </c>
      <c r="I491" s="70">
        <v>16</v>
      </c>
      <c r="J491" s="73"/>
      <c r="K491" s="73"/>
      <c r="L491" s="314" t="str">
        <f t="shared" si="19"/>
        <v>扩展帧CAN消息</v>
      </c>
      <c r="M491" s="73"/>
    </row>
    <row r="492" spans="1:13">
      <c r="A492" s="73"/>
      <c r="B492" s="73"/>
      <c r="C492" s="73"/>
      <c r="D492" s="73"/>
      <c r="E492" s="73"/>
      <c r="F492" s="313"/>
      <c r="G492" s="75" t="s">
        <v>285</v>
      </c>
      <c r="H492" s="70">
        <f t="shared" si="20"/>
        <v>464</v>
      </c>
      <c r="I492" s="70">
        <v>16</v>
      </c>
      <c r="J492" s="73"/>
      <c r="K492" s="73"/>
      <c r="L492" s="314" t="str">
        <f t="shared" si="19"/>
        <v>扩展帧CAN消息</v>
      </c>
      <c r="M492" s="73"/>
    </row>
    <row r="493" spans="1:13">
      <c r="A493" s="73"/>
      <c r="B493" s="73"/>
      <c r="C493" s="73"/>
      <c r="D493" s="73"/>
      <c r="E493" s="73"/>
      <c r="F493" s="313"/>
      <c r="G493" s="149" t="s">
        <v>88</v>
      </c>
      <c r="H493" s="70">
        <f t="shared" si="20"/>
        <v>480</v>
      </c>
      <c r="I493" s="70">
        <v>4</v>
      </c>
      <c r="J493" s="73"/>
      <c r="K493" s="73"/>
      <c r="L493" s="312" t="str">
        <f t="shared" si="19"/>
        <v/>
      </c>
      <c r="M493" s="73"/>
    </row>
    <row r="494" spans="1:13">
      <c r="A494" s="73"/>
      <c r="B494" s="73"/>
      <c r="C494" s="73"/>
      <c r="D494" s="73"/>
      <c r="E494" s="73"/>
      <c r="F494" s="313"/>
      <c r="G494" s="75" t="s">
        <v>286</v>
      </c>
      <c r="H494" s="70">
        <f t="shared" si="20"/>
        <v>484</v>
      </c>
      <c r="I494" s="70">
        <v>16</v>
      </c>
      <c r="J494" s="73"/>
      <c r="K494" s="73"/>
      <c r="L494" s="314" t="str">
        <f t="shared" si="19"/>
        <v>扩展帧CAN消息</v>
      </c>
      <c r="M494" s="73"/>
    </row>
    <row r="495" spans="1:13">
      <c r="A495" s="73"/>
      <c r="B495" s="73"/>
      <c r="C495" s="73"/>
      <c r="D495" s="73"/>
      <c r="E495" s="73"/>
      <c r="F495" s="313"/>
      <c r="G495" s="75" t="s">
        <v>287</v>
      </c>
      <c r="H495" s="70">
        <f t="shared" si="20"/>
        <v>500</v>
      </c>
      <c r="I495" s="70">
        <v>16</v>
      </c>
      <c r="J495" s="73"/>
      <c r="K495" s="73"/>
      <c r="L495" s="314" t="str">
        <f t="shared" si="19"/>
        <v>扩展帧CAN消息</v>
      </c>
      <c r="M495" s="73"/>
    </row>
    <row r="496" spans="1:13">
      <c r="A496" s="73"/>
      <c r="B496" s="73"/>
      <c r="C496" s="73"/>
      <c r="D496" s="73"/>
      <c r="E496" s="73"/>
      <c r="F496" s="313"/>
      <c r="G496" s="75" t="s">
        <v>288</v>
      </c>
      <c r="H496" s="70">
        <f t="shared" si="20"/>
        <v>516</v>
      </c>
      <c r="I496" s="70">
        <v>16</v>
      </c>
      <c r="J496" s="73"/>
      <c r="K496" s="73"/>
      <c r="L496" s="314" t="str">
        <f t="shared" si="19"/>
        <v>扩展帧CAN消息</v>
      </c>
      <c r="M496" s="73"/>
    </row>
    <row r="497" spans="1:13">
      <c r="A497" s="73"/>
      <c r="B497" s="73"/>
      <c r="C497" s="73"/>
      <c r="D497" s="73"/>
      <c r="E497" s="73"/>
      <c r="F497" s="313"/>
      <c r="G497" s="75" t="s">
        <v>289</v>
      </c>
      <c r="H497" s="70">
        <f t="shared" si="20"/>
        <v>532</v>
      </c>
      <c r="I497" s="70">
        <v>16</v>
      </c>
      <c r="J497" s="73"/>
      <c r="K497" s="73"/>
      <c r="L497" s="314" t="str">
        <f t="shared" si="19"/>
        <v>扩展帧CAN消息</v>
      </c>
      <c r="M497" s="73"/>
    </row>
    <row r="498" spans="1:13">
      <c r="A498" s="73"/>
      <c r="B498" s="73"/>
      <c r="C498" s="73"/>
      <c r="D498" s="73"/>
      <c r="E498" s="73"/>
      <c r="F498" s="313"/>
      <c r="G498" s="149" t="s">
        <v>88</v>
      </c>
      <c r="H498" s="70">
        <f t="shared" si="20"/>
        <v>548</v>
      </c>
      <c r="I498" s="70">
        <v>4</v>
      </c>
      <c r="J498" s="73"/>
      <c r="K498" s="73"/>
      <c r="L498" s="312" t="str">
        <f t="shared" si="19"/>
        <v/>
      </c>
      <c r="M498" s="73"/>
    </row>
    <row r="499" spans="1:13">
      <c r="A499" s="73"/>
      <c r="B499" s="73"/>
      <c r="C499" s="73"/>
      <c r="D499" s="73"/>
      <c r="E499" s="73"/>
      <c r="F499" s="313"/>
      <c r="G499" s="75" t="s">
        <v>290</v>
      </c>
      <c r="H499" s="70">
        <f t="shared" si="20"/>
        <v>552</v>
      </c>
      <c r="I499" s="70">
        <v>16</v>
      </c>
      <c r="J499" s="73"/>
      <c r="K499" s="73"/>
      <c r="L499" s="314" t="str">
        <f t="shared" si="19"/>
        <v>扩展帧CAN消息</v>
      </c>
      <c r="M499" s="73"/>
    </row>
    <row r="500" spans="1:13">
      <c r="A500" s="73"/>
      <c r="B500" s="73"/>
      <c r="C500" s="73"/>
      <c r="D500" s="73"/>
      <c r="E500" s="73"/>
      <c r="F500" s="313"/>
      <c r="G500" s="75" t="s">
        <v>291</v>
      </c>
      <c r="H500" s="70">
        <f t="shared" si="20"/>
        <v>568</v>
      </c>
      <c r="I500" s="70">
        <v>16</v>
      </c>
      <c r="J500" s="73"/>
      <c r="K500" s="73"/>
      <c r="L500" s="314" t="str">
        <f t="shared" si="19"/>
        <v>扩展帧CAN消息</v>
      </c>
      <c r="M500" s="73"/>
    </row>
    <row r="501" spans="1:13">
      <c r="A501" s="73"/>
      <c r="B501" s="73"/>
      <c r="C501" s="73"/>
      <c r="D501" s="73"/>
      <c r="E501" s="73"/>
      <c r="F501" s="313"/>
      <c r="G501" s="75" t="s">
        <v>292</v>
      </c>
      <c r="H501" s="70">
        <f t="shared" si="20"/>
        <v>584</v>
      </c>
      <c r="I501" s="70">
        <v>16</v>
      </c>
      <c r="J501" s="73"/>
      <c r="K501" s="73"/>
      <c r="L501" s="314" t="str">
        <f t="shared" si="19"/>
        <v>扩展帧CAN消息</v>
      </c>
      <c r="M501" s="73"/>
    </row>
    <row r="502" spans="1:13">
      <c r="A502" s="73"/>
      <c r="B502" s="73"/>
      <c r="C502" s="73"/>
      <c r="D502" s="73"/>
      <c r="E502" s="73"/>
      <c r="F502" s="313"/>
      <c r="G502" s="75" t="s">
        <v>293</v>
      </c>
      <c r="H502" s="70">
        <f t="shared" si="20"/>
        <v>600</v>
      </c>
      <c r="I502" s="70">
        <v>16</v>
      </c>
      <c r="J502" s="73"/>
      <c r="K502" s="73"/>
      <c r="L502" s="314" t="str">
        <f t="shared" si="19"/>
        <v>扩展帧CAN消息</v>
      </c>
      <c r="M502" s="73"/>
    </row>
    <row r="503" spans="1:13">
      <c r="A503" s="73"/>
      <c r="B503" s="73"/>
      <c r="C503" s="73"/>
      <c r="D503" s="73"/>
      <c r="E503" s="73"/>
      <c r="F503" s="313"/>
      <c r="G503" s="149" t="s">
        <v>88</v>
      </c>
      <c r="H503" s="70">
        <f t="shared" si="20"/>
        <v>616</v>
      </c>
      <c r="I503" s="70">
        <v>4</v>
      </c>
      <c r="J503" s="73"/>
      <c r="K503" s="73"/>
      <c r="L503" s="312" t="str">
        <f t="shared" si="19"/>
        <v/>
      </c>
      <c r="M503" s="73"/>
    </row>
    <row r="504" spans="1:13">
      <c r="A504" s="73"/>
      <c r="B504" s="73"/>
      <c r="C504" s="73"/>
      <c r="D504" s="73"/>
      <c r="E504" s="73"/>
      <c r="F504" s="313"/>
      <c r="G504" s="75" t="s">
        <v>294</v>
      </c>
      <c r="H504" s="70">
        <f t="shared" si="20"/>
        <v>620</v>
      </c>
      <c r="I504" s="70">
        <v>16</v>
      </c>
      <c r="J504" s="73"/>
      <c r="K504" s="73"/>
      <c r="L504" s="314" t="str">
        <f t="shared" si="19"/>
        <v>扩展帧CAN消息</v>
      </c>
      <c r="M504" s="73"/>
    </row>
    <row r="505" spans="1:13">
      <c r="A505" s="73"/>
      <c r="B505" s="73"/>
      <c r="C505" s="73"/>
      <c r="D505" s="73"/>
      <c r="E505" s="73"/>
      <c r="F505" s="313"/>
      <c r="G505" s="75" t="s">
        <v>295</v>
      </c>
      <c r="H505" s="70">
        <f t="shared" si="20"/>
        <v>636</v>
      </c>
      <c r="I505" s="70">
        <v>16</v>
      </c>
      <c r="J505" s="73"/>
      <c r="K505" s="73"/>
      <c r="L505" s="314" t="str">
        <f t="shared" si="19"/>
        <v>扩展帧CAN消息</v>
      </c>
      <c r="M505" s="73"/>
    </row>
    <row r="506" spans="1:13">
      <c r="A506" s="73"/>
      <c r="B506" s="73"/>
      <c r="C506" s="73"/>
      <c r="D506" s="73"/>
      <c r="E506" s="73"/>
      <c r="F506" s="313"/>
      <c r="G506" s="75" t="s">
        <v>296</v>
      </c>
      <c r="H506" s="70">
        <f t="shared" si="20"/>
        <v>652</v>
      </c>
      <c r="I506" s="70">
        <v>16</v>
      </c>
      <c r="J506" s="73"/>
      <c r="K506" s="73"/>
      <c r="L506" s="314" t="str">
        <f t="shared" si="19"/>
        <v>扩展帧CAN消息</v>
      </c>
      <c r="M506" s="73"/>
    </row>
    <row r="507" spans="1:13">
      <c r="A507" s="73"/>
      <c r="B507" s="73"/>
      <c r="C507" s="73"/>
      <c r="D507" s="73"/>
      <c r="E507" s="73"/>
      <c r="F507" s="313"/>
      <c r="G507" s="75" t="s">
        <v>297</v>
      </c>
      <c r="H507" s="70">
        <f t="shared" si="20"/>
        <v>668</v>
      </c>
      <c r="I507" s="70">
        <v>16</v>
      </c>
      <c r="J507" s="73"/>
      <c r="K507" s="73"/>
      <c r="L507" s="314" t="str">
        <f t="shared" si="19"/>
        <v>扩展帧CAN消息</v>
      </c>
      <c r="M507" s="73"/>
    </row>
    <row r="508" spans="1:13">
      <c r="A508" s="303" t="s">
        <v>78</v>
      </c>
      <c r="B508" s="303" t="s">
        <v>298</v>
      </c>
      <c r="C508" s="303" t="s">
        <v>213</v>
      </c>
      <c r="D508" s="303" t="s">
        <v>118</v>
      </c>
      <c r="E508" s="303">
        <v>7030</v>
      </c>
      <c r="F508" s="259" t="s">
        <v>86</v>
      </c>
      <c r="G508" s="302" t="s">
        <v>134</v>
      </c>
      <c r="H508" s="303">
        <v>0</v>
      </c>
      <c r="I508" s="303">
        <v>4</v>
      </c>
      <c r="J508" s="303" t="s">
        <v>135</v>
      </c>
      <c r="K508" s="303">
        <v>1000</v>
      </c>
      <c r="L508" s="304" t="str">
        <f t="shared" ref="L508:L521" si="21">IF(RIGHT(G508,5)="FRAME","扩展帧CAN消息","")</f>
        <v/>
      </c>
      <c r="M508" s="300">
        <v>1502202</v>
      </c>
    </row>
    <row r="509" spans="1:13">
      <c r="A509" s="303"/>
      <c r="B509" s="303"/>
      <c r="C509" s="303"/>
      <c r="D509" s="303"/>
      <c r="E509" s="303"/>
      <c r="F509" s="259"/>
      <c r="G509" s="302" t="s">
        <v>120</v>
      </c>
      <c r="H509" s="303">
        <v>4</v>
      </c>
      <c r="I509" s="303">
        <v>4</v>
      </c>
      <c r="J509" s="303"/>
      <c r="K509" s="303"/>
      <c r="L509" s="304" t="str">
        <f t="shared" si="21"/>
        <v/>
      </c>
      <c r="M509" s="305"/>
    </row>
    <row r="510" spans="1:13">
      <c r="A510" s="303"/>
      <c r="B510" s="303"/>
      <c r="C510" s="303"/>
      <c r="D510" s="303"/>
      <c r="E510" s="303"/>
      <c r="F510" s="259"/>
      <c r="G510" s="303" t="s">
        <v>299</v>
      </c>
      <c r="H510" s="303">
        <v>8</v>
      </c>
      <c r="I510" s="303">
        <v>16</v>
      </c>
      <c r="J510" s="303"/>
      <c r="K510" s="303"/>
      <c r="L510" s="307" t="str">
        <f t="shared" si="21"/>
        <v>扩展帧CAN消息</v>
      </c>
      <c r="M510" s="305"/>
    </row>
    <row r="511" spans="1:13">
      <c r="A511" s="303"/>
      <c r="B511" s="303"/>
      <c r="C511" s="303"/>
      <c r="D511" s="303"/>
      <c r="E511" s="303"/>
      <c r="F511" s="259"/>
      <c r="G511" s="303" t="s">
        <v>300</v>
      </c>
      <c r="H511" s="303">
        <f t="shared" ref="H511:H521" si="22">H510+I510</f>
        <v>24</v>
      </c>
      <c r="I511" s="303">
        <v>16</v>
      </c>
      <c r="J511" s="303"/>
      <c r="K511" s="303"/>
      <c r="L511" s="307" t="str">
        <f t="shared" si="21"/>
        <v>扩展帧CAN消息</v>
      </c>
      <c r="M511" s="305"/>
    </row>
    <row r="512" spans="1:13">
      <c r="A512" s="303"/>
      <c r="B512" s="303"/>
      <c r="C512" s="303"/>
      <c r="D512" s="303"/>
      <c r="E512" s="303"/>
      <c r="F512" s="259"/>
      <c r="G512" s="303" t="s">
        <v>301</v>
      </c>
      <c r="H512" s="303">
        <f t="shared" si="22"/>
        <v>40</v>
      </c>
      <c r="I512" s="303">
        <v>16</v>
      </c>
      <c r="J512" s="303"/>
      <c r="K512" s="303"/>
      <c r="L512" s="307" t="str">
        <f t="shared" si="21"/>
        <v>扩展帧CAN消息</v>
      </c>
      <c r="M512" s="305"/>
    </row>
    <row r="513" spans="1:13">
      <c r="A513" s="303"/>
      <c r="B513" s="303"/>
      <c r="C513" s="303"/>
      <c r="D513" s="303"/>
      <c r="E513" s="303"/>
      <c r="F513" s="259"/>
      <c r="G513" s="303" t="s">
        <v>302</v>
      </c>
      <c r="H513" s="303">
        <f t="shared" si="22"/>
        <v>56</v>
      </c>
      <c r="I513" s="303">
        <v>16</v>
      </c>
      <c r="J513" s="303"/>
      <c r="K513" s="303"/>
      <c r="L513" s="307" t="str">
        <f t="shared" si="21"/>
        <v>扩展帧CAN消息</v>
      </c>
      <c r="M513" s="305"/>
    </row>
    <row r="514" spans="1:13">
      <c r="A514" s="303"/>
      <c r="B514" s="303"/>
      <c r="C514" s="303"/>
      <c r="D514" s="303"/>
      <c r="E514" s="303"/>
      <c r="F514" s="259"/>
      <c r="G514" s="302" t="s">
        <v>120</v>
      </c>
      <c r="H514" s="303">
        <f t="shared" si="22"/>
        <v>72</v>
      </c>
      <c r="I514" s="303">
        <v>4</v>
      </c>
      <c r="J514" s="303"/>
      <c r="K514" s="303"/>
      <c r="L514" s="304" t="str">
        <f t="shared" si="21"/>
        <v/>
      </c>
      <c r="M514" s="305"/>
    </row>
    <row r="515" spans="1:13">
      <c r="A515" s="303"/>
      <c r="B515" s="303"/>
      <c r="C515" s="303"/>
      <c r="D515" s="303"/>
      <c r="E515" s="303"/>
      <c r="F515" s="259"/>
      <c r="G515" s="303" t="s">
        <v>303</v>
      </c>
      <c r="H515" s="303">
        <f t="shared" si="22"/>
        <v>76</v>
      </c>
      <c r="I515" s="303">
        <v>16</v>
      </c>
      <c r="J515" s="303"/>
      <c r="K515" s="303"/>
      <c r="L515" s="307" t="str">
        <f t="shared" si="21"/>
        <v>扩展帧CAN消息</v>
      </c>
      <c r="M515" s="305"/>
    </row>
    <row r="516" spans="1:13">
      <c r="A516" s="303"/>
      <c r="B516" s="303"/>
      <c r="C516" s="303"/>
      <c r="D516" s="303"/>
      <c r="E516" s="303"/>
      <c r="F516" s="259"/>
      <c r="G516" s="303" t="s">
        <v>304</v>
      </c>
      <c r="H516" s="303">
        <f t="shared" si="22"/>
        <v>92</v>
      </c>
      <c r="I516" s="303">
        <v>16</v>
      </c>
      <c r="J516" s="303"/>
      <c r="K516" s="303"/>
      <c r="L516" s="307" t="str">
        <f t="shared" si="21"/>
        <v>扩展帧CAN消息</v>
      </c>
      <c r="M516" s="305"/>
    </row>
    <row r="517" spans="1:13">
      <c r="A517" s="303"/>
      <c r="B517" s="303"/>
      <c r="C517" s="303"/>
      <c r="D517" s="303"/>
      <c r="E517" s="303"/>
      <c r="F517" s="259"/>
      <c r="G517" s="303" t="s">
        <v>305</v>
      </c>
      <c r="H517" s="303">
        <f t="shared" si="22"/>
        <v>108</v>
      </c>
      <c r="I517" s="303">
        <v>16</v>
      </c>
      <c r="J517" s="303"/>
      <c r="K517" s="303"/>
      <c r="L517" s="307" t="str">
        <f t="shared" si="21"/>
        <v>扩展帧CAN消息</v>
      </c>
      <c r="M517" s="305"/>
    </row>
    <row r="518" spans="1:13">
      <c r="A518" s="303"/>
      <c r="B518" s="303"/>
      <c r="C518" s="303"/>
      <c r="D518" s="303"/>
      <c r="E518" s="303"/>
      <c r="F518" s="259"/>
      <c r="G518" s="303" t="s">
        <v>306</v>
      </c>
      <c r="H518" s="303">
        <f t="shared" si="22"/>
        <v>124</v>
      </c>
      <c r="I518" s="303">
        <v>16</v>
      </c>
      <c r="J518" s="303"/>
      <c r="K518" s="303"/>
      <c r="L518" s="307" t="str">
        <f t="shared" si="21"/>
        <v>扩展帧CAN消息</v>
      </c>
      <c r="M518" s="305"/>
    </row>
    <row r="519" spans="1:13">
      <c r="A519" s="303"/>
      <c r="B519" s="303"/>
      <c r="C519" s="303"/>
      <c r="D519" s="303"/>
      <c r="E519" s="303"/>
      <c r="F519" s="259"/>
      <c r="G519" s="302" t="s">
        <v>120</v>
      </c>
      <c r="H519" s="303">
        <f t="shared" si="22"/>
        <v>140</v>
      </c>
      <c r="I519" s="303">
        <v>4</v>
      </c>
      <c r="J519" s="303"/>
      <c r="K519" s="303"/>
      <c r="L519" s="304" t="str">
        <f t="shared" si="21"/>
        <v/>
      </c>
      <c r="M519" s="305"/>
    </row>
    <row r="520" spans="1:13">
      <c r="A520" s="303"/>
      <c r="B520" s="303"/>
      <c r="C520" s="303"/>
      <c r="D520" s="303"/>
      <c r="E520" s="303"/>
      <c r="F520" s="259"/>
      <c r="G520" s="303" t="s">
        <v>307</v>
      </c>
      <c r="H520" s="303">
        <f t="shared" si="22"/>
        <v>144</v>
      </c>
      <c r="I520" s="303">
        <v>16</v>
      </c>
      <c r="J520" s="303"/>
      <c r="K520" s="303"/>
      <c r="L520" s="307" t="str">
        <f t="shared" si="21"/>
        <v>扩展帧CAN消息</v>
      </c>
      <c r="M520" s="305"/>
    </row>
    <row r="521" spans="1:13">
      <c r="A521" s="303"/>
      <c r="B521" s="303"/>
      <c r="C521" s="303"/>
      <c r="D521" s="303"/>
      <c r="E521" s="303"/>
      <c r="F521" s="259"/>
      <c r="G521" s="303" t="s">
        <v>308</v>
      </c>
      <c r="H521" s="303">
        <f t="shared" si="22"/>
        <v>160</v>
      </c>
      <c r="I521" s="303">
        <v>16</v>
      </c>
      <c r="J521" s="303"/>
      <c r="K521" s="303"/>
      <c r="L521" s="307" t="str">
        <f t="shared" si="21"/>
        <v>扩展帧CAN消息</v>
      </c>
      <c r="M521" s="315"/>
    </row>
    <row r="522" spans="1:13">
      <c r="A522" s="303" t="s">
        <v>80</v>
      </c>
      <c r="B522" s="303" t="s">
        <v>309</v>
      </c>
      <c r="C522" s="48" t="s">
        <v>213</v>
      </c>
      <c r="D522" s="48" t="s">
        <v>133</v>
      </c>
      <c r="E522" s="48">
        <v>7031</v>
      </c>
      <c r="F522" s="259" t="s">
        <v>86</v>
      </c>
      <c r="G522" s="259" t="s">
        <v>134</v>
      </c>
      <c r="H522" s="48">
        <v>0</v>
      </c>
      <c r="I522" s="48">
        <v>4</v>
      </c>
      <c r="J522" s="48" t="s">
        <v>97</v>
      </c>
      <c r="K522" s="48">
        <v>100</v>
      </c>
      <c r="L522" s="299"/>
      <c r="M522" s="61">
        <v>1402202</v>
      </c>
    </row>
    <row r="523" spans="1:13">
      <c r="A523" s="303"/>
      <c r="B523" s="303"/>
      <c r="C523" s="48"/>
      <c r="D523" s="48"/>
      <c r="E523" s="48"/>
      <c r="F523" s="259"/>
      <c r="G523" s="259" t="s">
        <v>120</v>
      </c>
      <c r="H523" s="48">
        <v>4</v>
      </c>
      <c r="I523" s="48">
        <v>4</v>
      </c>
      <c r="J523" s="48"/>
      <c r="K523" s="48"/>
      <c r="L523" s="299"/>
      <c r="M523" s="63"/>
    </row>
    <row r="524" spans="1:13">
      <c r="A524" s="303"/>
      <c r="B524" s="303"/>
      <c r="C524" s="48"/>
      <c r="D524" s="48"/>
      <c r="E524" s="48"/>
      <c r="F524" s="259"/>
      <c r="G524" s="48" t="s">
        <v>214</v>
      </c>
      <c r="H524" s="48">
        <v>8</v>
      </c>
      <c r="I524" s="48">
        <v>16</v>
      </c>
      <c r="J524" s="48"/>
      <c r="K524" s="48"/>
      <c r="L524" s="298" t="str">
        <f t="shared" ref="L524:L561" si="23">IF(RIGHT(G524,5)="FRAME","扩展帧CAN消息","")</f>
        <v>扩展帧CAN消息</v>
      </c>
      <c r="M524" s="63"/>
    </row>
    <row r="525" spans="1:13">
      <c r="A525" s="303"/>
      <c r="B525" s="303"/>
      <c r="C525" s="48"/>
      <c r="D525" s="48"/>
      <c r="E525" s="48"/>
      <c r="F525" s="259"/>
      <c r="G525" s="48" t="s">
        <v>215</v>
      </c>
      <c r="H525" s="48">
        <f t="shared" ref="H525:H535" si="24">H524+I524</f>
        <v>24</v>
      </c>
      <c r="I525" s="48">
        <v>16</v>
      </c>
      <c r="J525" s="48"/>
      <c r="K525" s="48"/>
      <c r="L525" s="298" t="str">
        <f t="shared" si="23"/>
        <v>扩展帧CAN消息</v>
      </c>
      <c r="M525" s="63"/>
    </row>
    <row r="526" spans="1:13">
      <c r="A526" s="303"/>
      <c r="B526" s="303"/>
      <c r="C526" s="48"/>
      <c r="D526" s="48"/>
      <c r="E526" s="48"/>
      <c r="F526" s="259"/>
      <c r="G526" s="48" t="s">
        <v>216</v>
      </c>
      <c r="H526" s="48">
        <f t="shared" si="24"/>
        <v>40</v>
      </c>
      <c r="I526" s="48">
        <v>16</v>
      </c>
      <c r="J526" s="48"/>
      <c r="K526" s="48"/>
      <c r="L526" s="298" t="str">
        <f t="shared" si="23"/>
        <v>扩展帧CAN消息</v>
      </c>
      <c r="M526" s="63"/>
    </row>
    <row r="527" spans="1:13">
      <c r="A527" s="303"/>
      <c r="B527" s="303"/>
      <c r="C527" s="48"/>
      <c r="D527" s="48"/>
      <c r="E527" s="48"/>
      <c r="F527" s="259"/>
      <c r="G527" s="48" t="s">
        <v>217</v>
      </c>
      <c r="H527" s="48">
        <f t="shared" si="24"/>
        <v>56</v>
      </c>
      <c r="I527" s="48">
        <v>16</v>
      </c>
      <c r="J527" s="48"/>
      <c r="K527" s="48"/>
      <c r="L527" s="298" t="str">
        <f t="shared" si="23"/>
        <v>扩展帧CAN消息</v>
      </c>
      <c r="M527" s="63"/>
    </row>
    <row r="528" spans="1:13">
      <c r="A528" s="303"/>
      <c r="B528" s="303"/>
      <c r="C528" s="48"/>
      <c r="D528" s="48"/>
      <c r="E528" s="48"/>
      <c r="F528" s="259"/>
      <c r="G528" s="259" t="s">
        <v>120</v>
      </c>
      <c r="H528" s="48">
        <f t="shared" si="24"/>
        <v>72</v>
      </c>
      <c r="I528" s="48">
        <v>4</v>
      </c>
      <c r="J528" s="48"/>
      <c r="K528" s="48"/>
      <c r="L528" s="299" t="str">
        <f t="shared" si="23"/>
        <v/>
      </c>
      <c r="M528" s="63"/>
    </row>
    <row r="529" spans="1:13">
      <c r="A529" s="303"/>
      <c r="B529" s="303"/>
      <c r="C529" s="48"/>
      <c r="D529" s="48"/>
      <c r="E529" s="48"/>
      <c r="F529" s="259"/>
      <c r="G529" s="48" t="s">
        <v>218</v>
      </c>
      <c r="H529" s="48">
        <f t="shared" si="24"/>
        <v>76</v>
      </c>
      <c r="I529" s="48">
        <v>16</v>
      </c>
      <c r="J529" s="48"/>
      <c r="K529" s="48"/>
      <c r="L529" s="298" t="str">
        <f t="shared" si="23"/>
        <v>扩展帧CAN消息</v>
      </c>
      <c r="M529" s="63"/>
    </row>
    <row r="530" spans="1:13">
      <c r="A530" s="303"/>
      <c r="B530" s="303"/>
      <c r="C530" s="48"/>
      <c r="D530" s="48"/>
      <c r="E530" s="48"/>
      <c r="F530" s="259"/>
      <c r="G530" s="48" t="s">
        <v>219</v>
      </c>
      <c r="H530" s="48">
        <f t="shared" si="24"/>
        <v>92</v>
      </c>
      <c r="I530" s="48">
        <v>16</v>
      </c>
      <c r="J530" s="48"/>
      <c r="K530" s="48"/>
      <c r="L530" s="298" t="str">
        <f t="shared" si="23"/>
        <v>扩展帧CAN消息</v>
      </c>
      <c r="M530" s="63"/>
    </row>
    <row r="531" spans="1:13">
      <c r="A531" s="303"/>
      <c r="B531" s="303"/>
      <c r="C531" s="48"/>
      <c r="D531" s="48"/>
      <c r="E531" s="48"/>
      <c r="F531" s="259"/>
      <c r="G531" s="48" t="s">
        <v>220</v>
      </c>
      <c r="H531" s="48">
        <f t="shared" si="24"/>
        <v>108</v>
      </c>
      <c r="I531" s="48">
        <v>16</v>
      </c>
      <c r="J531" s="48"/>
      <c r="K531" s="48"/>
      <c r="L531" s="298" t="str">
        <f t="shared" si="23"/>
        <v>扩展帧CAN消息</v>
      </c>
      <c r="M531" s="63"/>
    </row>
    <row r="532" spans="1:13">
      <c r="A532" s="303"/>
      <c r="B532" s="303"/>
      <c r="C532" s="48"/>
      <c r="D532" s="48"/>
      <c r="E532" s="48"/>
      <c r="F532" s="259"/>
      <c r="G532" s="48" t="s">
        <v>221</v>
      </c>
      <c r="H532" s="48">
        <f t="shared" si="24"/>
        <v>124</v>
      </c>
      <c r="I532" s="48">
        <v>16</v>
      </c>
      <c r="J532" s="48"/>
      <c r="K532" s="48"/>
      <c r="L532" s="298" t="str">
        <f t="shared" si="23"/>
        <v>扩展帧CAN消息</v>
      </c>
      <c r="M532" s="63"/>
    </row>
    <row r="533" spans="1:13">
      <c r="A533" s="303"/>
      <c r="B533" s="303"/>
      <c r="C533" s="48"/>
      <c r="D533" s="48"/>
      <c r="E533" s="48"/>
      <c r="F533" s="259"/>
      <c r="G533" s="259" t="s">
        <v>120</v>
      </c>
      <c r="H533" s="48">
        <f t="shared" si="24"/>
        <v>140</v>
      </c>
      <c r="I533" s="48">
        <v>4</v>
      </c>
      <c r="J533" s="48"/>
      <c r="K533" s="48"/>
      <c r="L533" s="299" t="str">
        <f t="shared" si="23"/>
        <v/>
      </c>
      <c r="M533" s="63"/>
    </row>
    <row r="534" spans="1:13">
      <c r="A534" s="303"/>
      <c r="B534" s="303"/>
      <c r="C534" s="48"/>
      <c r="D534" s="48"/>
      <c r="E534" s="48"/>
      <c r="F534" s="259"/>
      <c r="G534" s="48" t="s">
        <v>222</v>
      </c>
      <c r="H534" s="48">
        <f t="shared" si="24"/>
        <v>144</v>
      </c>
      <c r="I534" s="48">
        <v>16</v>
      </c>
      <c r="J534" s="48"/>
      <c r="K534" s="48"/>
      <c r="L534" s="298" t="str">
        <f t="shared" si="23"/>
        <v>扩展帧CAN消息</v>
      </c>
      <c r="M534" s="63"/>
    </row>
    <row r="535" spans="1:13">
      <c r="A535" s="303"/>
      <c r="B535" s="303"/>
      <c r="C535" s="48"/>
      <c r="D535" s="48"/>
      <c r="E535" s="48"/>
      <c r="F535" s="259"/>
      <c r="G535" s="48" t="s">
        <v>223</v>
      </c>
      <c r="H535" s="48">
        <f t="shared" si="24"/>
        <v>160</v>
      </c>
      <c r="I535" s="48">
        <v>16</v>
      </c>
      <c r="J535" s="48"/>
      <c r="K535" s="48"/>
      <c r="L535" s="298" t="str">
        <f t="shared" si="23"/>
        <v>扩展帧CAN消息</v>
      </c>
      <c r="M535" s="66"/>
    </row>
    <row r="536" spans="1:13">
      <c r="A536" s="71" t="s">
        <v>310</v>
      </c>
      <c r="B536" s="71" t="s">
        <v>311</v>
      </c>
      <c r="C536" s="71" t="s">
        <v>213</v>
      </c>
      <c r="D536" s="71" t="s">
        <v>133</v>
      </c>
      <c r="E536" s="71">
        <v>7059</v>
      </c>
      <c r="F536" s="310" t="s">
        <v>86</v>
      </c>
      <c r="G536" s="311" t="s">
        <v>87</v>
      </c>
      <c r="H536" s="70">
        <v>0</v>
      </c>
      <c r="I536" s="70">
        <v>4</v>
      </c>
      <c r="J536" s="71" t="s">
        <v>97</v>
      </c>
      <c r="K536" s="71">
        <v>500</v>
      </c>
      <c r="L536" s="312" t="str">
        <f t="shared" si="23"/>
        <v/>
      </c>
      <c r="M536" s="71">
        <v>1402202</v>
      </c>
    </row>
    <row r="537" spans="1:13">
      <c r="A537" s="73"/>
      <c r="B537" s="73"/>
      <c r="C537" s="73"/>
      <c r="D537" s="73"/>
      <c r="E537" s="73"/>
      <c r="F537" s="313"/>
      <c r="G537" s="311" t="s">
        <v>88</v>
      </c>
      <c r="H537" s="70">
        <f t="shared" ref="H537:H561" si="25">H536+I536</f>
        <v>4</v>
      </c>
      <c r="I537" s="70">
        <v>4</v>
      </c>
      <c r="J537" s="73"/>
      <c r="K537" s="73"/>
      <c r="L537" s="312" t="str">
        <f t="shared" si="23"/>
        <v/>
      </c>
      <c r="M537" s="73"/>
    </row>
    <row r="538" spans="1:13">
      <c r="A538" s="73"/>
      <c r="B538" s="73"/>
      <c r="C538" s="73"/>
      <c r="D538" s="73"/>
      <c r="E538" s="73"/>
      <c r="F538" s="313"/>
      <c r="G538" s="70" t="s">
        <v>258</v>
      </c>
      <c r="H538" s="70">
        <f t="shared" si="25"/>
        <v>8</v>
      </c>
      <c r="I538" s="70">
        <v>16</v>
      </c>
      <c r="J538" s="73"/>
      <c r="K538" s="73"/>
      <c r="L538" s="314" t="str">
        <f t="shared" si="23"/>
        <v>扩展帧CAN消息</v>
      </c>
      <c r="M538" s="73"/>
    </row>
    <row r="539" spans="1:13">
      <c r="A539" s="73"/>
      <c r="B539" s="73"/>
      <c r="C539" s="73"/>
      <c r="D539" s="73"/>
      <c r="E539" s="73"/>
      <c r="F539" s="313"/>
      <c r="G539" s="70" t="s">
        <v>259</v>
      </c>
      <c r="H539" s="70">
        <f t="shared" si="25"/>
        <v>24</v>
      </c>
      <c r="I539" s="70">
        <v>16</v>
      </c>
      <c r="J539" s="73"/>
      <c r="K539" s="73"/>
      <c r="L539" s="314" t="str">
        <f t="shared" si="23"/>
        <v>扩展帧CAN消息</v>
      </c>
      <c r="M539" s="73"/>
    </row>
    <row r="540" spans="1:13">
      <c r="A540" s="73"/>
      <c r="B540" s="73"/>
      <c r="C540" s="73"/>
      <c r="D540" s="73"/>
      <c r="E540" s="73"/>
      <c r="F540" s="313"/>
      <c r="G540" s="70" t="s">
        <v>260</v>
      </c>
      <c r="H540" s="70">
        <f t="shared" si="25"/>
        <v>40</v>
      </c>
      <c r="I540" s="70">
        <v>16</v>
      </c>
      <c r="J540" s="73"/>
      <c r="K540" s="73"/>
      <c r="L540" s="314" t="str">
        <f t="shared" si="23"/>
        <v>扩展帧CAN消息</v>
      </c>
      <c r="M540" s="73"/>
    </row>
    <row r="541" spans="1:13">
      <c r="A541" s="73"/>
      <c r="B541" s="73"/>
      <c r="C541" s="73"/>
      <c r="D541" s="73"/>
      <c r="E541" s="73"/>
      <c r="F541" s="313"/>
      <c r="G541" s="70" t="s">
        <v>261</v>
      </c>
      <c r="H541" s="70">
        <f t="shared" si="25"/>
        <v>56</v>
      </c>
      <c r="I541" s="70">
        <v>16</v>
      </c>
      <c r="J541" s="73"/>
      <c r="K541" s="73"/>
      <c r="L541" s="314" t="str">
        <f t="shared" si="23"/>
        <v>扩展帧CAN消息</v>
      </c>
      <c r="M541" s="73"/>
    </row>
    <row r="542" spans="1:13">
      <c r="A542" s="73"/>
      <c r="B542" s="73"/>
      <c r="C542" s="73"/>
      <c r="D542" s="73"/>
      <c r="E542" s="73"/>
      <c r="F542" s="313"/>
      <c r="G542" s="311" t="s">
        <v>88</v>
      </c>
      <c r="H542" s="70">
        <f t="shared" si="25"/>
        <v>72</v>
      </c>
      <c r="I542" s="70">
        <v>4</v>
      </c>
      <c r="J542" s="73"/>
      <c r="K542" s="73"/>
      <c r="L542" s="312" t="str">
        <f t="shared" si="23"/>
        <v/>
      </c>
      <c r="M542" s="73"/>
    </row>
    <row r="543" spans="1:13">
      <c r="A543" s="73"/>
      <c r="B543" s="73"/>
      <c r="C543" s="73"/>
      <c r="D543" s="73"/>
      <c r="E543" s="73"/>
      <c r="F543" s="313"/>
      <c r="G543" s="70" t="s">
        <v>262</v>
      </c>
      <c r="H543" s="70">
        <f t="shared" si="25"/>
        <v>76</v>
      </c>
      <c r="I543" s="70">
        <v>16</v>
      </c>
      <c r="J543" s="73"/>
      <c r="K543" s="73"/>
      <c r="L543" s="314" t="str">
        <f t="shared" si="23"/>
        <v>扩展帧CAN消息</v>
      </c>
      <c r="M543" s="73"/>
    </row>
    <row r="544" spans="1:13">
      <c r="A544" s="73"/>
      <c r="B544" s="73"/>
      <c r="C544" s="73"/>
      <c r="D544" s="73"/>
      <c r="E544" s="73"/>
      <c r="F544" s="313"/>
      <c r="G544" s="70" t="s">
        <v>263</v>
      </c>
      <c r="H544" s="70">
        <f t="shared" si="25"/>
        <v>92</v>
      </c>
      <c r="I544" s="70">
        <v>16</v>
      </c>
      <c r="J544" s="73"/>
      <c r="K544" s="73"/>
      <c r="L544" s="314" t="str">
        <f t="shared" si="23"/>
        <v>扩展帧CAN消息</v>
      </c>
      <c r="M544" s="73"/>
    </row>
    <row r="545" spans="1:13">
      <c r="A545" s="73"/>
      <c r="B545" s="73"/>
      <c r="C545" s="73"/>
      <c r="D545" s="73"/>
      <c r="E545" s="73"/>
      <c r="F545" s="313"/>
      <c r="G545" s="70" t="s">
        <v>264</v>
      </c>
      <c r="H545" s="70">
        <f t="shared" si="25"/>
        <v>108</v>
      </c>
      <c r="I545" s="70">
        <v>16</v>
      </c>
      <c r="J545" s="73"/>
      <c r="K545" s="73"/>
      <c r="L545" s="314" t="str">
        <f t="shared" si="23"/>
        <v>扩展帧CAN消息</v>
      </c>
      <c r="M545" s="73"/>
    </row>
    <row r="546" spans="1:13">
      <c r="A546" s="73"/>
      <c r="B546" s="73"/>
      <c r="C546" s="73"/>
      <c r="D546" s="73"/>
      <c r="E546" s="73"/>
      <c r="F546" s="313"/>
      <c r="G546" s="70" t="s">
        <v>265</v>
      </c>
      <c r="H546" s="70">
        <f t="shared" si="25"/>
        <v>124</v>
      </c>
      <c r="I546" s="70">
        <v>16</v>
      </c>
      <c r="J546" s="73"/>
      <c r="K546" s="73"/>
      <c r="L546" s="314" t="str">
        <f t="shared" si="23"/>
        <v>扩展帧CAN消息</v>
      </c>
      <c r="M546" s="73"/>
    </row>
    <row r="547" spans="1:13">
      <c r="A547" s="73"/>
      <c r="B547" s="73"/>
      <c r="C547" s="73"/>
      <c r="D547" s="73"/>
      <c r="E547" s="73"/>
      <c r="F547" s="313"/>
      <c r="G547" s="311" t="s">
        <v>88</v>
      </c>
      <c r="H547" s="70">
        <f t="shared" si="25"/>
        <v>140</v>
      </c>
      <c r="I547" s="70">
        <v>4</v>
      </c>
      <c r="J547" s="73"/>
      <c r="K547" s="73"/>
      <c r="L547" s="312" t="str">
        <f t="shared" si="23"/>
        <v/>
      </c>
      <c r="M547" s="73"/>
    </row>
    <row r="548" spans="1:13">
      <c r="A548" s="73"/>
      <c r="B548" s="73"/>
      <c r="C548" s="73"/>
      <c r="D548" s="73"/>
      <c r="E548" s="73"/>
      <c r="F548" s="313"/>
      <c r="G548" s="70" t="s">
        <v>266</v>
      </c>
      <c r="H548" s="70">
        <f t="shared" si="25"/>
        <v>144</v>
      </c>
      <c r="I548" s="70">
        <v>16</v>
      </c>
      <c r="J548" s="73"/>
      <c r="K548" s="73"/>
      <c r="L548" s="314" t="str">
        <f t="shared" si="23"/>
        <v>扩展帧CAN消息</v>
      </c>
      <c r="M548" s="73"/>
    </row>
    <row r="549" spans="1:13">
      <c r="A549" s="73"/>
      <c r="B549" s="73"/>
      <c r="C549" s="73"/>
      <c r="D549" s="73"/>
      <c r="E549" s="73"/>
      <c r="F549" s="313"/>
      <c r="G549" s="70" t="s">
        <v>267</v>
      </c>
      <c r="H549" s="70">
        <f t="shared" si="25"/>
        <v>160</v>
      </c>
      <c r="I549" s="70">
        <v>16</v>
      </c>
      <c r="J549" s="73"/>
      <c r="K549" s="73"/>
      <c r="L549" s="314" t="str">
        <f t="shared" si="23"/>
        <v>扩展帧CAN消息</v>
      </c>
      <c r="M549" s="73"/>
    </row>
    <row r="550" spans="1:13">
      <c r="A550" s="73"/>
      <c r="B550" s="73"/>
      <c r="C550" s="73"/>
      <c r="D550" s="73"/>
      <c r="E550" s="73"/>
      <c r="F550" s="313"/>
      <c r="G550" s="70" t="s">
        <v>268</v>
      </c>
      <c r="H550" s="70">
        <f t="shared" si="25"/>
        <v>176</v>
      </c>
      <c r="I550" s="70">
        <v>16</v>
      </c>
      <c r="J550" s="73"/>
      <c r="K550" s="73"/>
      <c r="L550" s="314" t="str">
        <f t="shared" si="23"/>
        <v>扩展帧CAN消息</v>
      </c>
      <c r="M550" s="73"/>
    </row>
    <row r="551" spans="1:13">
      <c r="A551" s="73"/>
      <c r="B551" s="73"/>
      <c r="C551" s="73"/>
      <c r="D551" s="73"/>
      <c r="E551" s="73"/>
      <c r="F551" s="313"/>
      <c r="G551" s="70" t="s">
        <v>269</v>
      </c>
      <c r="H551" s="70">
        <f t="shared" si="25"/>
        <v>192</v>
      </c>
      <c r="I551" s="70">
        <v>16</v>
      </c>
      <c r="J551" s="73"/>
      <c r="K551" s="73"/>
      <c r="L551" s="314" t="str">
        <f t="shared" si="23"/>
        <v>扩展帧CAN消息</v>
      </c>
      <c r="M551" s="73"/>
    </row>
    <row r="552" spans="1:13">
      <c r="A552" s="73"/>
      <c r="B552" s="73"/>
      <c r="C552" s="73"/>
      <c r="D552" s="73"/>
      <c r="E552" s="73"/>
      <c r="F552" s="313"/>
      <c r="G552" s="311" t="s">
        <v>88</v>
      </c>
      <c r="H552" s="70">
        <f t="shared" si="25"/>
        <v>208</v>
      </c>
      <c r="I552" s="70">
        <v>4</v>
      </c>
      <c r="J552" s="73"/>
      <c r="K552" s="73"/>
      <c r="L552" s="312" t="str">
        <f t="shared" si="23"/>
        <v/>
      </c>
      <c r="M552" s="73"/>
    </row>
    <row r="553" spans="1:13">
      <c r="A553" s="73"/>
      <c r="B553" s="73"/>
      <c r="C553" s="73"/>
      <c r="D553" s="73"/>
      <c r="E553" s="73"/>
      <c r="F553" s="313"/>
      <c r="G553" s="70" t="s">
        <v>270</v>
      </c>
      <c r="H553" s="70">
        <f t="shared" si="25"/>
        <v>212</v>
      </c>
      <c r="I553" s="70">
        <v>16</v>
      </c>
      <c r="J553" s="73"/>
      <c r="K553" s="73"/>
      <c r="L553" s="314" t="str">
        <f t="shared" si="23"/>
        <v>扩展帧CAN消息</v>
      </c>
      <c r="M553" s="73"/>
    </row>
    <row r="554" spans="1:13">
      <c r="A554" s="73"/>
      <c r="B554" s="73"/>
      <c r="C554" s="73"/>
      <c r="D554" s="73"/>
      <c r="E554" s="73"/>
      <c r="F554" s="313"/>
      <c r="G554" s="70" t="s">
        <v>271</v>
      </c>
      <c r="H554" s="70">
        <f t="shared" si="25"/>
        <v>228</v>
      </c>
      <c r="I554" s="70">
        <v>16</v>
      </c>
      <c r="J554" s="73"/>
      <c r="K554" s="73"/>
      <c r="L554" s="314" t="str">
        <f t="shared" si="23"/>
        <v>扩展帧CAN消息</v>
      </c>
      <c r="M554" s="73"/>
    </row>
    <row r="555" spans="1:13">
      <c r="A555" s="73"/>
      <c r="B555" s="73"/>
      <c r="C555" s="73"/>
      <c r="D555" s="73"/>
      <c r="E555" s="73"/>
      <c r="F555" s="313"/>
      <c r="G555" s="70" t="s">
        <v>272</v>
      </c>
      <c r="H555" s="70">
        <f t="shared" si="25"/>
        <v>244</v>
      </c>
      <c r="I555" s="70">
        <v>16</v>
      </c>
      <c r="J555" s="73"/>
      <c r="K555" s="73"/>
      <c r="L555" s="314" t="str">
        <f t="shared" si="23"/>
        <v>扩展帧CAN消息</v>
      </c>
      <c r="M555" s="73"/>
    </row>
    <row r="556" spans="1:13">
      <c r="A556" s="73"/>
      <c r="B556" s="73"/>
      <c r="C556" s="73"/>
      <c r="D556" s="73"/>
      <c r="E556" s="73"/>
      <c r="F556" s="313"/>
      <c r="G556" s="70" t="s">
        <v>273</v>
      </c>
      <c r="H556" s="70">
        <f t="shared" si="25"/>
        <v>260</v>
      </c>
      <c r="I556" s="70">
        <v>16</v>
      </c>
      <c r="J556" s="73"/>
      <c r="K556" s="73"/>
      <c r="L556" s="314" t="str">
        <f t="shared" si="23"/>
        <v>扩展帧CAN消息</v>
      </c>
      <c r="M556" s="73"/>
    </row>
    <row r="557" spans="1:13">
      <c r="A557" s="73"/>
      <c r="B557" s="73"/>
      <c r="C557" s="73"/>
      <c r="D557" s="73"/>
      <c r="E557" s="73"/>
      <c r="F557" s="313"/>
      <c r="G557" s="311" t="s">
        <v>88</v>
      </c>
      <c r="H557" s="70">
        <f t="shared" si="25"/>
        <v>276</v>
      </c>
      <c r="I557" s="70">
        <v>4</v>
      </c>
      <c r="J557" s="73"/>
      <c r="K557" s="73"/>
      <c r="L557" s="312" t="str">
        <f t="shared" si="23"/>
        <v/>
      </c>
      <c r="M557" s="73"/>
    </row>
    <row r="558" spans="1:13">
      <c r="A558" s="73"/>
      <c r="B558" s="73"/>
      <c r="C558" s="73"/>
      <c r="D558" s="73"/>
      <c r="E558" s="73"/>
      <c r="F558" s="313"/>
      <c r="G558" s="70" t="s">
        <v>274</v>
      </c>
      <c r="H558" s="70">
        <f t="shared" si="25"/>
        <v>280</v>
      </c>
      <c r="I558" s="70">
        <v>16</v>
      </c>
      <c r="J558" s="73"/>
      <c r="K558" s="73"/>
      <c r="L558" s="314" t="str">
        <f t="shared" si="23"/>
        <v>扩展帧CAN消息</v>
      </c>
      <c r="M558" s="73"/>
    </row>
    <row r="559" spans="1:13">
      <c r="A559" s="73"/>
      <c r="B559" s="73"/>
      <c r="C559" s="73"/>
      <c r="D559" s="73"/>
      <c r="E559" s="73"/>
      <c r="F559" s="313"/>
      <c r="G559" s="70" t="s">
        <v>275</v>
      </c>
      <c r="H559" s="70">
        <f t="shared" si="25"/>
        <v>296</v>
      </c>
      <c r="I559" s="70">
        <v>16</v>
      </c>
      <c r="J559" s="73"/>
      <c r="K559" s="73"/>
      <c r="L559" s="314" t="str">
        <f t="shared" si="23"/>
        <v>扩展帧CAN消息</v>
      </c>
      <c r="M559" s="73"/>
    </row>
    <row r="560" spans="1:13">
      <c r="A560" s="73"/>
      <c r="B560" s="73"/>
      <c r="C560" s="73"/>
      <c r="D560" s="73"/>
      <c r="E560" s="73"/>
      <c r="F560" s="313"/>
      <c r="G560" s="70" t="s">
        <v>276</v>
      </c>
      <c r="H560" s="70">
        <f t="shared" si="25"/>
        <v>312</v>
      </c>
      <c r="I560" s="70">
        <v>16</v>
      </c>
      <c r="J560" s="73"/>
      <c r="K560" s="73"/>
      <c r="L560" s="314" t="str">
        <f t="shared" si="23"/>
        <v>扩展帧CAN消息</v>
      </c>
      <c r="M560" s="73"/>
    </row>
    <row r="561" spans="1:13">
      <c r="A561" s="73"/>
      <c r="B561" s="73"/>
      <c r="C561" s="73"/>
      <c r="D561" s="73"/>
      <c r="E561" s="73"/>
      <c r="F561" s="313"/>
      <c r="G561" s="70" t="s">
        <v>277</v>
      </c>
      <c r="H561" s="70">
        <f t="shared" ref="H561:H586" si="26">H560+I560</f>
        <v>328</v>
      </c>
      <c r="I561" s="70">
        <v>16</v>
      </c>
      <c r="J561" s="73"/>
      <c r="K561" s="73"/>
      <c r="L561" s="314" t="str">
        <f t="shared" ref="L561:L586" si="27">IF(RIGHT(G561,5)="FRAME","扩展帧CAN消息","")</f>
        <v>扩展帧CAN消息</v>
      </c>
      <c r="M561" s="73"/>
    </row>
    <row r="562" spans="1:13">
      <c r="A562" s="73"/>
      <c r="B562" s="73"/>
      <c r="C562" s="73"/>
      <c r="D562" s="73"/>
      <c r="E562" s="73"/>
      <c r="F562" s="313"/>
      <c r="G562" s="311" t="s">
        <v>88</v>
      </c>
      <c r="H562" s="70">
        <f t="shared" si="26"/>
        <v>344</v>
      </c>
      <c r="I562" s="70">
        <v>4</v>
      </c>
      <c r="J562" s="73"/>
      <c r="K562" s="73"/>
      <c r="L562" s="314"/>
      <c r="M562" s="73"/>
    </row>
    <row r="563" spans="1:13">
      <c r="A563" s="73"/>
      <c r="B563" s="73"/>
      <c r="C563" s="73"/>
      <c r="D563" s="73"/>
      <c r="E563" s="73"/>
      <c r="F563" s="313"/>
      <c r="G563" s="75" t="s">
        <v>278</v>
      </c>
      <c r="H563" s="75">
        <f t="shared" si="26"/>
        <v>348</v>
      </c>
      <c r="I563" s="75">
        <v>16</v>
      </c>
      <c r="J563" s="73"/>
      <c r="K563" s="73"/>
      <c r="L563" s="314" t="str">
        <f t="shared" si="27"/>
        <v>扩展帧CAN消息</v>
      </c>
      <c r="M563" s="73"/>
    </row>
    <row r="564" spans="1:13">
      <c r="A564" s="73"/>
      <c r="B564" s="73"/>
      <c r="C564" s="73"/>
      <c r="D564" s="73"/>
      <c r="E564" s="73"/>
      <c r="F564" s="313"/>
      <c r="G564" s="75" t="s">
        <v>279</v>
      </c>
      <c r="H564" s="75">
        <f t="shared" si="26"/>
        <v>364</v>
      </c>
      <c r="I564" s="75">
        <v>16</v>
      </c>
      <c r="J564" s="73"/>
      <c r="K564" s="73"/>
      <c r="L564" s="314" t="str">
        <f t="shared" si="27"/>
        <v>扩展帧CAN消息</v>
      </c>
      <c r="M564" s="73"/>
    </row>
    <row r="565" spans="1:13">
      <c r="A565" s="73"/>
      <c r="B565" s="73"/>
      <c r="C565" s="73"/>
      <c r="D565" s="73"/>
      <c r="E565" s="73"/>
      <c r="F565" s="313"/>
      <c r="G565" s="75" t="s">
        <v>280</v>
      </c>
      <c r="H565" s="75">
        <f t="shared" si="26"/>
        <v>380</v>
      </c>
      <c r="I565" s="75">
        <v>16</v>
      </c>
      <c r="J565" s="73"/>
      <c r="K565" s="73"/>
      <c r="L565" s="314" t="str">
        <f t="shared" si="27"/>
        <v>扩展帧CAN消息</v>
      </c>
      <c r="M565" s="73"/>
    </row>
    <row r="566" spans="1:13">
      <c r="A566" s="73"/>
      <c r="B566" s="73"/>
      <c r="C566" s="73"/>
      <c r="D566" s="73"/>
      <c r="E566" s="73"/>
      <c r="F566" s="313"/>
      <c r="G566" s="75" t="s">
        <v>281</v>
      </c>
      <c r="H566" s="75">
        <f t="shared" si="26"/>
        <v>396</v>
      </c>
      <c r="I566" s="75">
        <v>16</v>
      </c>
      <c r="J566" s="73"/>
      <c r="K566" s="73"/>
      <c r="L566" s="314" t="str">
        <f t="shared" si="27"/>
        <v>扩展帧CAN消息</v>
      </c>
      <c r="M566" s="73"/>
    </row>
    <row r="567" spans="1:13">
      <c r="A567" s="73"/>
      <c r="B567" s="73"/>
      <c r="C567" s="73"/>
      <c r="D567" s="73"/>
      <c r="E567" s="73"/>
      <c r="F567" s="313"/>
      <c r="G567" s="149" t="s">
        <v>88</v>
      </c>
      <c r="H567" s="75">
        <f t="shared" si="26"/>
        <v>412</v>
      </c>
      <c r="I567" s="75">
        <v>4</v>
      </c>
      <c r="J567" s="73"/>
      <c r="K567" s="73"/>
      <c r="L567" s="312" t="str">
        <f t="shared" si="27"/>
        <v/>
      </c>
      <c r="M567" s="73"/>
    </row>
    <row r="568" spans="1:13">
      <c r="A568" s="73"/>
      <c r="B568" s="73"/>
      <c r="C568" s="73"/>
      <c r="D568" s="73"/>
      <c r="E568" s="73"/>
      <c r="F568" s="313"/>
      <c r="G568" s="75" t="s">
        <v>282</v>
      </c>
      <c r="H568" s="75">
        <f t="shared" si="26"/>
        <v>416</v>
      </c>
      <c r="I568" s="75">
        <v>16</v>
      </c>
      <c r="J568" s="73"/>
      <c r="K568" s="73"/>
      <c r="L568" s="314" t="str">
        <f t="shared" si="27"/>
        <v>扩展帧CAN消息</v>
      </c>
      <c r="M568" s="73"/>
    </row>
    <row r="569" spans="1:13">
      <c r="A569" s="73"/>
      <c r="B569" s="73"/>
      <c r="C569" s="73"/>
      <c r="D569" s="73"/>
      <c r="E569" s="73"/>
      <c r="F569" s="313"/>
      <c r="G569" s="75" t="s">
        <v>283</v>
      </c>
      <c r="H569" s="75">
        <f t="shared" si="26"/>
        <v>432</v>
      </c>
      <c r="I569" s="75">
        <v>16</v>
      </c>
      <c r="J569" s="73"/>
      <c r="K569" s="73"/>
      <c r="L569" s="314" t="str">
        <f t="shared" si="27"/>
        <v>扩展帧CAN消息</v>
      </c>
      <c r="M569" s="73"/>
    </row>
    <row r="570" spans="1:13">
      <c r="A570" s="73"/>
      <c r="B570" s="73"/>
      <c r="C570" s="73"/>
      <c r="D570" s="73"/>
      <c r="E570" s="73"/>
      <c r="F570" s="313"/>
      <c r="G570" s="75" t="s">
        <v>284</v>
      </c>
      <c r="H570" s="75">
        <f t="shared" si="26"/>
        <v>448</v>
      </c>
      <c r="I570" s="75">
        <v>16</v>
      </c>
      <c r="J570" s="73"/>
      <c r="K570" s="73"/>
      <c r="L570" s="314" t="str">
        <f t="shared" si="27"/>
        <v>扩展帧CAN消息</v>
      </c>
      <c r="M570" s="73"/>
    </row>
    <row r="571" spans="1:13">
      <c r="A571" s="73"/>
      <c r="B571" s="73"/>
      <c r="C571" s="73"/>
      <c r="D571" s="73"/>
      <c r="E571" s="73"/>
      <c r="F571" s="313"/>
      <c r="G571" s="75" t="s">
        <v>285</v>
      </c>
      <c r="H571" s="75">
        <f t="shared" si="26"/>
        <v>464</v>
      </c>
      <c r="I571" s="75">
        <v>16</v>
      </c>
      <c r="J571" s="73"/>
      <c r="K571" s="73"/>
      <c r="L571" s="314" t="str">
        <f t="shared" si="27"/>
        <v>扩展帧CAN消息</v>
      </c>
      <c r="M571" s="73"/>
    </row>
    <row r="572" spans="1:13">
      <c r="A572" s="73"/>
      <c r="B572" s="73"/>
      <c r="C572" s="73"/>
      <c r="D572" s="73"/>
      <c r="E572" s="73"/>
      <c r="F572" s="313"/>
      <c r="G572" s="149" t="s">
        <v>88</v>
      </c>
      <c r="H572" s="75">
        <f t="shared" si="26"/>
        <v>480</v>
      </c>
      <c r="I572" s="75">
        <v>4</v>
      </c>
      <c r="J572" s="73"/>
      <c r="K572" s="73"/>
      <c r="L572" s="312" t="str">
        <f t="shared" si="27"/>
        <v/>
      </c>
      <c r="M572" s="73"/>
    </row>
    <row r="573" spans="1:13">
      <c r="A573" s="73"/>
      <c r="B573" s="73"/>
      <c r="C573" s="73"/>
      <c r="D573" s="73"/>
      <c r="E573" s="73"/>
      <c r="F573" s="313"/>
      <c r="G573" s="75" t="s">
        <v>286</v>
      </c>
      <c r="H573" s="75">
        <f t="shared" si="26"/>
        <v>484</v>
      </c>
      <c r="I573" s="75">
        <v>16</v>
      </c>
      <c r="J573" s="73"/>
      <c r="K573" s="73"/>
      <c r="L573" s="314" t="str">
        <f t="shared" si="27"/>
        <v>扩展帧CAN消息</v>
      </c>
      <c r="M573" s="73"/>
    </row>
    <row r="574" spans="1:13">
      <c r="A574" s="73"/>
      <c r="B574" s="73"/>
      <c r="C574" s="73"/>
      <c r="D574" s="73"/>
      <c r="E574" s="73"/>
      <c r="F574" s="313"/>
      <c r="G574" s="75" t="s">
        <v>287</v>
      </c>
      <c r="H574" s="75">
        <f t="shared" si="26"/>
        <v>500</v>
      </c>
      <c r="I574" s="75">
        <v>16</v>
      </c>
      <c r="J574" s="73"/>
      <c r="K574" s="73"/>
      <c r="L574" s="314" t="str">
        <f t="shared" si="27"/>
        <v>扩展帧CAN消息</v>
      </c>
      <c r="M574" s="73"/>
    </row>
    <row r="575" spans="1:13">
      <c r="A575" s="73"/>
      <c r="B575" s="73"/>
      <c r="C575" s="73"/>
      <c r="D575" s="73"/>
      <c r="E575" s="73"/>
      <c r="F575" s="313"/>
      <c r="G575" s="75" t="s">
        <v>288</v>
      </c>
      <c r="H575" s="75">
        <f t="shared" si="26"/>
        <v>516</v>
      </c>
      <c r="I575" s="75">
        <v>16</v>
      </c>
      <c r="J575" s="73"/>
      <c r="K575" s="73"/>
      <c r="L575" s="314" t="str">
        <f t="shared" si="27"/>
        <v>扩展帧CAN消息</v>
      </c>
      <c r="M575" s="73"/>
    </row>
    <row r="576" spans="1:13">
      <c r="A576" s="73"/>
      <c r="B576" s="73"/>
      <c r="C576" s="73"/>
      <c r="D576" s="73"/>
      <c r="E576" s="73"/>
      <c r="F576" s="313"/>
      <c r="G576" s="75" t="s">
        <v>289</v>
      </c>
      <c r="H576" s="75">
        <f t="shared" si="26"/>
        <v>532</v>
      </c>
      <c r="I576" s="75">
        <v>16</v>
      </c>
      <c r="J576" s="73"/>
      <c r="K576" s="73"/>
      <c r="L576" s="314" t="str">
        <f t="shared" si="27"/>
        <v>扩展帧CAN消息</v>
      </c>
      <c r="M576" s="73"/>
    </row>
    <row r="577" spans="1:13">
      <c r="A577" s="73"/>
      <c r="B577" s="73"/>
      <c r="C577" s="73"/>
      <c r="D577" s="73"/>
      <c r="E577" s="73"/>
      <c r="F577" s="313"/>
      <c r="G577" s="149" t="s">
        <v>88</v>
      </c>
      <c r="H577" s="75">
        <f t="shared" si="26"/>
        <v>548</v>
      </c>
      <c r="I577" s="75">
        <v>4</v>
      </c>
      <c r="J577" s="73"/>
      <c r="K577" s="73"/>
      <c r="L577" s="312" t="str">
        <f t="shared" si="27"/>
        <v/>
      </c>
      <c r="M577" s="73"/>
    </row>
    <row r="578" spans="1:13">
      <c r="A578" s="73"/>
      <c r="B578" s="73"/>
      <c r="C578" s="73"/>
      <c r="D578" s="73"/>
      <c r="E578" s="73"/>
      <c r="F578" s="313"/>
      <c r="G578" s="75" t="s">
        <v>290</v>
      </c>
      <c r="H578" s="75">
        <f t="shared" si="26"/>
        <v>552</v>
      </c>
      <c r="I578" s="75">
        <v>16</v>
      </c>
      <c r="J578" s="73"/>
      <c r="K578" s="73"/>
      <c r="L578" s="314" t="str">
        <f t="shared" si="27"/>
        <v>扩展帧CAN消息</v>
      </c>
      <c r="M578" s="73"/>
    </row>
    <row r="579" spans="1:13">
      <c r="A579" s="73"/>
      <c r="B579" s="73"/>
      <c r="C579" s="73"/>
      <c r="D579" s="73"/>
      <c r="E579" s="73"/>
      <c r="F579" s="313"/>
      <c r="G579" s="75" t="s">
        <v>291</v>
      </c>
      <c r="H579" s="75">
        <f t="shared" si="26"/>
        <v>568</v>
      </c>
      <c r="I579" s="75">
        <v>16</v>
      </c>
      <c r="J579" s="73"/>
      <c r="K579" s="73"/>
      <c r="L579" s="314" t="str">
        <f t="shared" si="27"/>
        <v>扩展帧CAN消息</v>
      </c>
      <c r="M579" s="73"/>
    </row>
    <row r="580" spans="1:13">
      <c r="A580" s="73"/>
      <c r="B580" s="73"/>
      <c r="C580" s="73"/>
      <c r="D580" s="73"/>
      <c r="E580" s="73"/>
      <c r="F580" s="313"/>
      <c r="G580" s="75" t="s">
        <v>292</v>
      </c>
      <c r="H580" s="75">
        <f t="shared" si="26"/>
        <v>584</v>
      </c>
      <c r="I580" s="75">
        <v>16</v>
      </c>
      <c r="J580" s="73"/>
      <c r="K580" s="73"/>
      <c r="L580" s="314" t="str">
        <f t="shared" si="27"/>
        <v>扩展帧CAN消息</v>
      </c>
      <c r="M580" s="73"/>
    </row>
    <row r="581" spans="1:13">
      <c r="A581" s="73"/>
      <c r="B581" s="73"/>
      <c r="C581" s="73"/>
      <c r="D581" s="73"/>
      <c r="E581" s="73"/>
      <c r="F581" s="313"/>
      <c r="G581" s="75" t="s">
        <v>293</v>
      </c>
      <c r="H581" s="75">
        <f t="shared" si="26"/>
        <v>600</v>
      </c>
      <c r="I581" s="75">
        <v>16</v>
      </c>
      <c r="J581" s="73"/>
      <c r="K581" s="73"/>
      <c r="L581" s="314" t="str">
        <f t="shared" si="27"/>
        <v>扩展帧CAN消息</v>
      </c>
      <c r="M581" s="73"/>
    </row>
    <row r="582" spans="1:13">
      <c r="A582" s="73"/>
      <c r="B582" s="73"/>
      <c r="C582" s="73"/>
      <c r="D582" s="73"/>
      <c r="E582" s="73"/>
      <c r="F582" s="313"/>
      <c r="G582" s="149" t="s">
        <v>88</v>
      </c>
      <c r="H582" s="75">
        <f t="shared" si="26"/>
        <v>616</v>
      </c>
      <c r="I582" s="75">
        <v>4</v>
      </c>
      <c r="J582" s="73"/>
      <c r="K582" s="73"/>
      <c r="L582" s="312" t="str">
        <f t="shared" si="27"/>
        <v/>
      </c>
      <c r="M582" s="73"/>
    </row>
    <row r="583" spans="1:13">
      <c r="A583" s="73"/>
      <c r="B583" s="73"/>
      <c r="C583" s="73"/>
      <c r="D583" s="73"/>
      <c r="E583" s="73"/>
      <c r="F583" s="313"/>
      <c r="G583" s="75" t="s">
        <v>294</v>
      </c>
      <c r="H583" s="75">
        <f t="shared" si="26"/>
        <v>620</v>
      </c>
      <c r="I583" s="75">
        <v>16</v>
      </c>
      <c r="J583" s="73"/>
      <c r="K583" s="73"/>
      <c r="L583" s="314" t="str">
        <f t="shared" si="27"/>
        <v>扩展帧CAN消息</v>
      </c>
      <c r="M583" s="73"/>
    </row>
    <row r="584" spans="1:13">
      <c r="A584" s="73"/>
      <c r="B584" s="73"/>
      <c r="C584" s="73"/>
      <c r="D584" s="73"/>
      <c r="E584" s="73"/>
      <c r="F584" s="313"/>
      <c r="G584" s="75" t="s">
        <v>295</v>
      </c>
      <c r="H584" s="75">
        <f t="shared" si="26"/>
        <v>636</v>
      </c>
      <c r="I584" s="75">
        <v>16</v>
      </c>
      <c r="J584" s="73"/>
      <c r="K584" s="73"/>
      <c r="L584" s="314" t="str">
        <f t="shared" si="27"/>
        <v>扩展帧CAN消息</v>
      </c>
      <c r="M584" s="73"/>
    </row>
    <row r="585" spans="1:13">
      <c r="A585" s="73"/>
      <c r="B585" s="73"/>
      <c r="C585" s="73"/>
      <c r="D585" s="73"/>
      <c r="E585" s="73"/>
      <c r="F585" s="313"/>
      <c r="G585" s="75" t="s">
        <v>296</v>
      </c>
      <c r="H585" s="75">
        <f t="shared" si="26"/>
        <v>652</v>
      </c>
      <c r="I585" s="75">
        <v>16</v>
      </c>
      <c r="J585" s="73"/>
      <c r="K585" s="73"/>
      <c r="L585" s="314" t="str">
        <f t="shared" si="27"/>
        <v>扩展帧CAN消息</v>
      </c>
      <c r="M585" s="73"/>
    </row>
    <row r="586" spans="1:13">
      <c r="A586" s="73"/>
      <c r="B586" s="73"/>
      <c r="C586" s="73"/>
      <c r="D586" s="73"/>
      <c r="E586" s="73"/>
      <c r="F586" s="313"/>
      <c r="G586" s="75" t="s">
        <v>297</v>
      </c>
      <c r="H586" s="75">
        <f t="shared" si="26"/>
        <v>668</v>
      </c>
      <c r="I586" s="75">
        <v>16</v>
      </c>
      <c r="J586" s="73"/>
      <c r="K586" s="73"/>
      <c r="L586" s="314" t="str">
        <f t="shared" si="27"/>
        <v>扩展帧CAN消息</v>
      </c>
      <c r="M586" s="73"/>
    </row>
    <row r="587" spans="1:13">
      <c r="A587" s="300" t="s">
        <v>312</v>
      </c>
      <c r="B587" s="300" t="s">
        <v>313</v>
      </c>
      <c r="C587" s="300" t="s">
        <v>213</v>
      </c>
      <c r="D587" s="300" t="s">
        <v>133</v>
      </c>
      <c r="E587" s="300">
        <v>7032</v>
      </c>
      <c r="F587" s="301" t="s">
        <v>86</v>
      </c>
      <c r="G587" s="302" t="s">
        <v>134</v>
      </c>
      <c r="H587" s="303">
        <v>0</v>
      </c>
      <c r="I587" s="303">
        <v>4</v>
      </c>
      <c r="J587" s="300" t="s">
        <v>97</v>
      </c>
      <c r="K587" s="300">
        <v>500</v>
      </c>
      <c r="L587" s="304"/>
      <c r="M587" s="300">
        <v>1402202</v>
      </c>
    </row>
    <row r="588" spans="1:13">
      <c r="A588" s="305"/>
      <c r="B588" s="305"/>
      <c r="C588" s="305"/>
      <c r="D588" s="305"/>
      <c r="E588" s="305"/>
      <c r="F588" s="306"/>
      <c r="G588" s="302" t="s">
        <v>120</v>
      </c>
      <c r="H588" s="303">
        <f t="shared" ref="H588:H612" si="28">H587+I587</f>
        <v>4</v>
      </c>
      <c r="I588" s="303">
        <v>4</v>
      </c>
      <c r="J588" s="305"/>
      <c r="K588" s="305"/>
      <c r="L588" s="304"/>
      <c r="M588" s="305"/>
    </row>
    <row r="589" spans="1:13">
      <c r="A589" s="305"/>
      <c r="B589" s="305"/>
      <c r="C589" s="305"/>
      <c r="D589" s="305"/>
      <c r="E589" s="305"/>
      <c r="F589" s="306"/>
      <c r="G589" s="303" t="s">
        <v>225</v>
      </c>
      <c r="H589" s="303">
        <f t="shared" si="28"/>
        <v>8</v>
      </c>
      <c r="I589" s="303">
        <v>16</v>
      </c>
      <c r="J589" s="305"/>
      <c r="K589" s="305"/>
      <c r="L589" s="307" t="str">
        <f t="shared" ref="L589:L612" si="29">IF(RIGHT(G589,5)="FRAME","扩展帧CAN消息","")</f>
        <v>扩展帧CAN消息</v>
      </c>
      <c r="M589" s="305"/>
    </row>
    <row r="590" spans="1:13">
      <c r="A590" s="305"/>
      <c r="B590" s="305"/>
      <c r="C590" s="305"/>
      <c r="D590" s="305"/>
      <c r="E590" s="305"/>
      <c r="F590" s="306"/>
      <c r="G590" s="303" t="s">
        <v>226</v>
      </c>
      <c r="H590" s="303">
        <f t="shared" si="28"/>
        <v>24</v>
      </c>
      <c r="I590" s="303">
        <v>16</v>
      </c>
      <c r="J590" s="305"/>
      <c r="K590" s="305"/>
      <c r="L590" s="307" t="str">
        <f t="shared" si="29"/>
        <v>扩展帧CAN消息</v>
      </c>
      <c r="M590" s="305"/>
    </row>
    <row r="591" spans="1:13">
      <c r="A591" s="305"/>
      <c r="B591" s="305"/>
      <c r="C591" s="305"/>
      <c r="D591" s="305"/>
      <c r="E591" s="305"/>
      <c r="F591" s="306"/>
      <c r="G591" s="303" t="s">
        <v>227</v>
      </c>
      <c r="H591" s="303">
        <f t="shared" si="28"/>
        <v>40</v>
      </c>
      <c r="I591" s="303">
        <v>16</v>
      </c>
      <c r="J591" s="305"/>
      <c r="K591" s="305"/>
      <c r="L591" s="307" t="str">
        <f t="shared" si="29"/>
        <v>扩展帧CAN消息</v>
      </c>
      <c r="M591" s="305"/>
    </row>
    <row r="592" spans="1:13">
      <c r="A592" s="305"/>
      <c r="B592" s="305"/>
      <c r="C592" s="305"/>
      <c r="D592" s="305"/>
      <c r="E592" s="305"/>
      <c r="F592" s="306"/>
      <c r="G592" s="303" t="s">
        <v>228</v>
      </c>
      <c r="H592" s="303">
        <f t="shared" si="28"/>
        <v>56</v>
      </c>
      <c r="I592" s="303">
        <v>16</v>
      </c>
      <c r="J592" s="305"/>
      <c r="K592" s="305"/>
      <c r="L592" s="307" t="str">
        <f t="shared" si="29"/>
        <v>扩展帧CAN消息</v>
      </c>
      <c r="M592" s="305"/>
    </row>
    <row r="593" spans="1:13">
      <c r="A593" s="305"/>
      <c r="B593" s="305"/>
      <c r="C593" s="305"/>
      <c r="D593" s="305"/>
      <c r="E593" s="305"/>
      <c r="F593" s="306"/>
      <c r="G593" s="302" t="s">
        <v>120</v>
      </c>
      <c r="H593" s="303">
        <f t="shared" si="28"/>
        <v>72</v>
      </c>
      <c r="I593" s="303">
        <v>4</v>
      </c>
      <c r="J593" s="305"/>
      <c r="K593" s="305"/>
      <c r="L593" s="304" t="str">
        <f t="shared" si="29"/>
        <v/>
      </c>
      <c r="M593" s="305"/>
    </row>
    <row r="594" spans="1:13">
      <c r="A594" s="305"/>
      <c r="B594" s="305"/>
      <c r="C594" s="305"/>
      <c r="D594" s="305"/>
      <c r="E594" s="305"/>
      <c r="F594" s="306"/>
      <c r="G594" s="303" t="s">
        <v>229</v>
      </c>
      <c r="H594" s="303">
        <f t="shared" si="28"/>
        <v>76</v>
      </c>
      <c r="I594" s="303">
        <v>16</v>
      </c>
      <c r="J594" s="305"/>
      <c r="K594" s="305"/>
      <c r="L594" s="307" t="str">
        <f t="shared" si="29"/>
        <v>扩展帧CAN消息</v>
      </c>
      <c r="M594" s="305"/>
    </row>
    <row r="595" spans="1:13">
      <c r="A595" s="305"/>
      <c r="B595" s="305"/>
      <c r="C595" s="305"/>
      <c r="D595" s="305"/>
      <c r="E595" s="305"/>
      <c r="F595" s="306"/>
      <c r="G595" s="303" t="s">
        <v>230</v>
      </c>
      <c r="H595" s="303">
        <f t="shared" si="28"/>
        <v>92</v>
      </c>
      <c r="I595" s="303">
        <v>16</v>
      </c>
      <c r="J595" s="305"/>
      <c r="K595" s="305"/>
      <c r="L595" s="307" t="str">
        <f t="shared" si="29"/>
        <v>扩展帧CAN消息</v>
      </c>
      <c r="M595" s="305"/>
    </row>
    <row r="596" spans="1:13">
      <c r="A596" s="305"/>
      <c r="B596" s="305"/>
      <c r="C596" s="305"/>
      <c r="D596" s="305"/>
      <c r="E596" s="305"/>
      <c r="F596" s="306"/>
      <c r="G596" s="303" t="s">
        <v>231</v>
      </c>
      <c r="H596" s="303">
        <f t="shared" si="28"/>
        <v>108</v>
      </c>
      <c r="I596" s="303">
        <v>16</v>
      </c>
      <c r="J596" s="305"/>
      <c r="K596" s="305"/>
      <c r="L596" s="307" t="str">
        <f t="shared" si="29"/>
        <v>扩展帧CAN消息</v>
      </c>
      <c r="M596" s="305"/>
    </row>
    <row r="597" spans="1:13">
      <c r="A597" s="305"/>
      <c r="B597" s="305"/>
      <c r="C597" s="305"/>
      <c r="D597" s="305"/>
      <c r="E597" s="305"/>
      <c r="F597" s="306"/>
      <c r="G597" s="303" t="s">
        <v>232</v>
      </c>
      <c r="H597" s="303">
        <f t="shared" si="28"/>
        <v>124</v>
      </c>
      <c r="I597" s="303">
        <v>16</v>
      </c>
      <c r="J597" s="305"/>
      <c r="K597" s="305"/>
      <c r="L597" s="307" t="str">
        <f t="shared" si="29"/>
        <v>扩展帧CAN消息</v>
      </c>
      <c r="M597" s="305"/>
    </row>
    <row r="598" spans="1:13">
      <c r="A598" s="305"/>
      <c r="B598" s="305"/>
      <c r="C598" s="305"/>
      <c r="D598" s="305"/>
      <c r="E598" s="305"/>
      <c r="F598" s="306"/>
      <c r="G598" s="302" t="s">
        <v>120</v>
      </c>
      <c r="H598" s="303">
        <f t="shared" si="28"/>
        <v>140</v>
      </c>
      <c r="I598" s="303">
        <v>4</v>
      </c>
      <c r="J598" s="305"/>
      <c r="K598" s="305"/>
      <c r="L598" s="304" t="str">
        <f t="shared" si="29"/>
        <v/>
      </c>
      <c r="M598" s="305"/>
    </row>
    <row r="599" spans="1:13">
      <c r="A599" s="305"/>
      <c r="B599" s="305"/>
      <c r="C599" s="305"/>
      <c r="D599" s="305"/>
      <c r="E599" s="305"/>
      <c r="F599" s="306"/>
      <c r="G599" s="303" t="s">
        <v>233</v>
      </c>
      <c r="H599" s="303">
        <f t="shared" si="28"/>
        <v>144</v>
      </c>
      <c r="I599" s="303">
        <v>16</v>
      </c>
      <c r="J599" s="305"/>
      <c r="K599" s="305"/>
      <c r="L599" s="307" t="str">
        <f t="shared" si="29"/>
        <v>扩展帧CAN消息</v>
      </c>
      <c r="M599" s="305"/>
    </row>
    <row r="600" spans="1:13">
      <c r="A600" s="305"/>
      <c r="B600" s="305"/>
      <c r="C600" s="305"/>
      <c r="D600" s="305"/>
      <c r="E600" s="305"/>
      <c r="F600" s="306"/>
      <c r="G600" s="303" t="s">
        <v>234</v>
      </c>
      <c r="H600" s="303">
        <f t="shared" si="28"/>
        <v>160</v>
      </c>
      <c r="I600" s="303">
        <v>16</v>
      </c>
      <c r="J600" s="305"/>
      <c r="K600" s="305"/>
      <c r="L600" s="307" t="str">
        <f t="shared" si="29"/>
        <v>扩展帧CAN消息</v>
      </c>
      <c r="M600" s="305"/>
    </row>
    <row r="601" spans="1:13">
      <c r="A601" s="305"/>
      <c r="B601" s="305"/>
      <c r="C601" s="305"/>
      <c r="D601" s="305"/>
      <c r="E601" s="305"/>
      <c r="F601" s="306"/>
      <c r="G601" s="303" t="s">
        <v>235</v>
      </c>
      <c r="H601" s="303">
        <f t="shared" si="28"/>
        <v>176</v>
      </c>
      <c r="I601" s="303">
        <v>16</v>
      </c>
      <c r="J601" s="305"/>
      <c r="K601" s="305"/>
      <c r="L601" s="307" t="str">
        <f t="shared" si="29"/>
        <v>扩展帧CAN消息</v>
      </c>
      <c r="M601" s="305"/>
    </row>
    <row r="602" spans="1:13">
      <c r="A602" s="305"/>
      <c r="B602" s="305"/>
      <c r="C602" s="305"/>
      <c r="D602" s="305"/>
      <c r="E602" s="305"/>
      <c r="F602" s="306"/>
      <c r="G602" s="303" t="s">
        <v>236</v>
      </c>
      <c r="H602" s="303">
        <f t="shared" si="28"/>
        <v>192</v>
      </c>
      <c r="I602" s="303">
        <v>16</v>
      </c>
      <c r="J602" s="305"/>
      <c r="K602" s="305"/>
      <c r="L602" s="307" t="str">
        <f t="shared" si="29"/>
        <v>扩展帧CAN消息</v>
      </c>
      <c r="M602" s="305"/>
    </row>
    <row r="603" spans="1:13">
      <c r="A603" s="305"/>
      <c r="B603" s="305"/>
      <c r="C603" s="305"/>
      <c r="D603" s="305"/>
      <c r="E603" s="305"/>
      <c r="F603" s="306"/>
      <c r="G603" s="302" t="s">
        <v>120</v>
      </c>
      <c r="H603" s="303">
        <f t="shared" si="28"/>
        <v>208</v>
      </c>
      <c r="I603" s="303">
        <v>4</v>
      </c>
      <c r="J603" s="305"/>
      <c r="K603" s="305"/>
      <c r="L603" s="304" t="str">
        <f t="shared" si="29"/>
        <v/>
      </c>
      <c r="M603" s="305"/>
    </row>
    <row r="604" spans="1:13">
      <c r="A604" s="305"/>
      <c r="B604" s="305"/>
      <c r="C604" s="305"/>
      <c r="D604" s="305"/>
      <c r="E604" s="305"/>
      <c r="F604" s="306"/>
      <c r="G604" s="303" t="s">
        <v>237</v>
      </c>
      <c r="H604" s="303">
        <f t="shared" si="28"/>
        <v>212</v>
      </c>
      <c r="I604" s="303">
        <v>16</v>
      </c>
      <c r="J604" s="305"/>
      <c r="K604" s="305"/>
      <c r="L604" s="307" t="str">
        <f t="shared" si="29"/>
        <v>扩展帧CAN消息</v>
      </c>
      <c r="M604" s="305"/>
    </row>
    <row r="605" spans="1:13">
      <c r="A605" s="305"/>
      <c r="B605" s="305"/>
      <c r="C605" s="305"/>
      <c r="D605" s="305"/>
      <c r="E605" s="305"/>
      <c r="F605" s="306"/>
      <c r="G605" s="303" t="s">
        <v>238</v>
      </c>
      <c r="H605" s="303">
        <f t="shared" si="28"/>
        <v>228</v>
      </c>
      <c r="I605" s="303">
        <v>16</v>
      </c>
      <c r="J605" s="305"/>
      <c r="K605" s="305"/>
      <c r="L605" s="307" t="str">
        <f t="shared" si="29"/>
        <v>扩展帧CAN消息</v>
      </c>
      <c r="M605" s="305"/>
    </row>
    <row r="606" spans="1:13">
      <c r="A606" s="305"/>
      <c r="B606" s="305"/>
      <c r="C606" s="305"/>
      <c r="D606" s="305"/>
      <c r="E606" s="305"/>
      <c r="F606" s="306"/>
      <c r="G606" s="303" t="s">
        <v>239</v>
      </c>
      <c r="H606" s="303">
        <f t="shared" si="28"/>
        <v>244</v>
      </c>
      <c r="I606" s="303">
        <v>16</v>
      </c>
      <c r="J606" s="305"/>
      <c r="K606" s="305"/>
      <c r="L606" s="307" t="str">
        <f t="shared" si="29"/>
        <v>扩展帧CAN消息</v>
      </c>
      <c r="M606" s="305"/>
    </row>
    <row r="607" spans="1:13">
      <c r="A607" s="305"/>
      <c r="B607" s="305"/>
      <c r="C607" s="305"/>
      <c r="D607" s="305"/>
      <c r="E607" s="305"/>
      <c r="F607" s="306"/>
      <c r="G607" s="303" t="s">
        <v>240</v>
      </c>
      <c r="H607" s="303">
        <f t="shared" si="28"/>
        <v>260</v>
      </c>
      <c r="I607" s="303">
        <v>16</v>
      </c>
      <c r="J607" s="305"/>
      <c r="K607" s="305"/>
      <c r="L607" s="307" t="str">
        <f t="shared" si="29"/>
        <v>扩展帧CAN消息</v>
      </c>
      <c r="M607" s="305"/>
    </row>
    <row r="608" spans="1:13">
      <c r="A608" s="305"/>
      <c r="B608" s="305"/>
      <c r="C608" s="305"/>
      <c r="D608" s="305"/>
      <c r="E608" s="305"/>
      <c r="F608" s="306"/>
      <c r="G608" s="302" t="s">
        <v>120</v>
      </c>
      <c r="H608" s="303">
        <f t="shared" si="28"/>
        <v>276</v>
      </c>
      <c r="I608" s="303">
        <v>4</v>
      </c>
      <c r="J608" s="305"/>
      <c r="K608" s="305"/>
      <c r="L608" s="304" t="str">
        <f t="shared" si="29"/>
        <v/>
      </c>
      <c r="M608" s="305"/>
    </row>
    <row r="609" spans="1:13">
      <c r="A609" s="305"/>
      <c r="B609" s="305"/>
      <c r="C609" s="305"/>
      <c r="D609" s="305"/>
      <c r="E609" s="305"/>
      <c r="F609" s="306"/>
      <c r="G609" s="303" t="s">
        <v>241</v>
      </c>
      <c r="H609" s="303">
        <f t="shared" si="28"/>
        <v>280</v>
      </c>
      <c r="I609" s="303">
        <v>16</v>
      </c>
      <c r="J609" s="305"/>
      <c r="K609" s="305"/>
      <c r="L609" s="307" t="str">
        <f t="shared" si="29"/>
        <v>扩展帧CAN消息</v>
      </c>
      <c r="M609" s="305"/>
    </row>
    <row r="610" spans="1:13">
      <c r="A610" s="305"/>
      <c r="B610" s="305"/>
      <c r="C610" s="305"/>
      <c r="D610" s="305"/>
      <c r="E610" s="305"/>
      <c r="F610" s="306"/>
      <c r="G610" s="303" t="s">
        <v>242</v>
      </c>
      <c r="H610" s="303">
        <f t="shared" si="28"/>
        <v>296</v>
      </c>
      <c r="I610" s="303">
        <v>16</v>
      </c>
      <c r="J610" s="305"/>
      <c r="K610" s="305"/>
      <c r="L610" s="307" t="str">
        <f t="shared" si="29"/>
        <v>扩展帧CAN消息</v>
      </c>
      <c r="M610" s="305"/>
    </row>
    <row r="611" spans="1:13">
      <c r="A611" s="305"/>
      <c r="B611" s="305"/>
      <c r="C611" s="305"/>
      <c r="D611" s="305"/>
      <c r="E611" s="305"/>
      <c r="F611" s="306"/>
      <c r="G611" s="303" t="s">
        <v>243</v>
      </c>
      <c r="H611" s="303">
        <f t="shared" ref="H611:H626" si="30">H610+I610</f>
        <v>312</v>
      </c>
      <c r="I611" s="303">
        <v>16</v>
      </c>
      <c r="J611" s="305"/>
      <c r="K611" s="305"/>
      <c r="L611" s="307" t="str">
        <f t="shared" ref="L611:L626" si="31">IF(RIGHT(G611,5)="FRAME","扩展帧CAN消息","")</f>
        <v>扩展帧CAN消息</v>
      </c>
      <c r="M611" s="305"/>
    </row>
    <row r="612" spans="1:13">
      <c r="A612" s="305"/>
      <c r="B612" s="305"/>
      <c r="C612" s="305"/>
      <c r="D612" s="305"/>
      <c r="E612" s="305"/>
      <c r="F612" s="306"/>
      <c r="G612" s="303" t="s">
        <v>244</v>
      </c>
      <c r="H612" s="303">
        <f t="shared" si="30"/>
        <v>328</v>
      </c>
      <c r="I612" s="303">
        <v>16</v>
      </c>
      <c r="J612" s="305"/>
      <c r="K612" s="305"/>
      <c r="L612" s="307" t="str">
        <f t="shared" si="31"/>
        <v>扩展帧CAN消息</v>
      </c>
      <c r="M612" s="305"/>
    </row>
    <row r="613" spans="1:13">
      <c r="A613" s="305"/>
      <c r="B613" s="305"/>
      <c r="C613" s="305"/>
      <c r="D613" s="305"/>
      <c r="E613" s="305"/>
      <c r="F613" s="306"/>
      <c r="G613" s="302" t="s">
        <v>120</v>
      </c>
      <c r="H613" s="303">
        <f t="shared" si="30"/>
        <v>344</v>
      </c>
      <c r="I613" s="303">
        <v>4</v>
      </c>
      <c r="J613" s="305"/>
      <c r="K613" s="305"/>
      <c r="L613" s="307"/>
      <c r="M613" s="305"/>
    </row>
    <row r="614" spans="1:13">
      <c r="A614" s="305"/>
      <c r="B614" s="305"/>
      <c r="C614" s="305"/>
      <c r="D614" s="305"/>
      <c r="E614" s="305"/>
      <c r="F614" s="306"/>
      <c r="G614" s="308" t="s">
        <v>245</v>
      </c>
      <c r="H614" s="303">
        <f t="shared" si="30"/>
        <v>348</v>
      </c>
      <c r="I614" s="303">
        <v>16</v>
      </c>
      <c r="J614" s="305"/>
      <c r="K614" s="305"/>
      <c r="L614" s="307" t="str">
        <f t="shared" si="31"/>
        <v>扩展帧CAN消息</v>
      </c>
      <c r="M614" s="305"/>
    </row>
    <row r="615" spans="1:13">
      <c r="A615" s="305"/>
      <c r="B615" s="305"/>
      <c r="C615" s="305"/>
      <c r="D615" s="305"/>
      <c r="E615" s="305"/>
      <c r="F615" s="306"/>
      <c r="G615" s="308" t="s">
        <v>246</v>
      </c>
      <c r="H615" s="303">
        <f t="shared" si="30"/>
        <v>364</v>
      </c>
      <c r="I615" s="303">
        <v>16</v>
      </c>
      <c r="J615" s="305"/>
      <c r="K615" s="305"/>
      <c r="L615" s="307" t="str">
        <f t="shared" si="31"/>
        <v>扩展帧CAN消息</v>
      </c>
      <c r="M615" s="305"/>
    </row>
    <row r="616" spans="1:13">
      <c r="A616" s="305"/>
      <c r="B616" s="305"/>
      <c r="C616" s="305"/>
      <c r="D616" s="305"/>
      <c r="E616" s="305"/>
      <c r="F616" s="306"/>
      <c r="G616" s="308" t="s">
        <v>247</v>
      </c>
      <c r="H616" s="303">
        <f t="shared" si="30"/>
        <v>380</v>
      </c>
      <c r="I616" s="303">
        <v>16</v>
      </c>
      <c r="J616" s="305"/>
      <c r="K616" s="305"/>
      <c r="L616" s="307" t="str">
        <f t="shared" si="31"/>
        <v>扩展帧CAN消息</v>
      </c>
      <c r="M616" s="305"/>
    </row>
    <row r="617" spans="1:13">
      <c r="A617" s="305"/>
      <c r="B617" s="305"/>
      <c r="C617" s="305"/>
      <c r="D617" s="305"/>
      <c r="E617" s="305"/>
      <c r="F617" s="306"/>
      <c r="G617" s="308" t="s">
        <v>248</v>
      </c>
      <c r="H617" s="303">
        <f t="shared" si="30"/>
        <v>396</v>
      </c>
      <c r="I617" s="303">
        <v>16</v>
      </c>
      <c r="J617" s="305"/>
      <c r="K617" s="305"/>
      <c r="L617" s="307" t="str">
        <f t="shared" si="31"/>
        <v>扩展帧CAN消息</v>
      </c>
      <c r="M617" s="305"/>
    </row>
    <row r="618" spans="1:13">
      <c r="A618" s="305"/>
      <c r="B618" s="305"/>
      <c r="C618" s="305"/>
      <c r="D618" s="305"/>
      <c r="E618" s="305"/>
      <c r="F618" s="306"/>
      <c r="G618" s="309" t="s">
        <v>88</v>
      </c>
      <c r="H618" s="303">
        <f t="shared" si="30"/>
        <v>412</v>
      </c>
      <c r="I618" s="303">
        <v>4</v>
      </c>
      <c r="J618" s="305"/>
      <c r="K618" s="305"/>
      <c r="L618" s="304" t="str">
        <f t="shared" si="31"/>
        <v/>
      </c>
      <c r="M618" s="305"/>
    </row>
    <row r="619" spans="1:13">
      <c r="A619" s="305"/>
      <c r="B619" s="305"/>
      <c r="C619" s="305"/>
      <c r="D619" s="305"/>
      <c r="E619" s="305"/>
      <c r="F619" s="306"/>
      <c r="G619" s="308" t="s">
        <v>249</v>
      </c>
      <c r="H619" s="303">
        <f t="shared" si="30"/>
        <v>416</v>
      </c>
      <c r="I619" s="303">
        <v>16</v>
      </c>
      <c r="J619" s="305"/>
      <c r="K619" s="305"/>
      <c r="L619" s="307" t="str">
        <f t="shared" si="31"/>
        <v>扩展帧CAN消息</v>
      </c>
      <c r="M619" s="305"/>
    </row>
    <row r="620" spans="1:13">
      <c r="A620" s="305"/>
      <c r="B620" s="305"/>
      <c r="C620" s="305"/>
      <c r="D620" s="305"/>
      <c r="E620" s="305"/>
      <c r="F620" s="306"/>
      <c r="G620" s="308" t="s">
        <v>250</v>
      </c>
      <c r="H620" s="303">
        <f t="shared" si="30"/>
        <v>432</v>
      </c>
      <c r="I620" s="303">
        <v>16</v>
      </c>
      <c r="J620" s="305"/>
      <c r="K620" s="305"/>
      <c r="L620" s="307" t="str">
        <f t="shared" si="31"/>
        <v>扩展帧CAN消息</v>
      </c>
      <c r="M620" s="305"/>
    </row>
    <row r="621" spans="1:13">
      <c r="A621" s="305"/>
      <c r="B621" s="305"/>
      <c r="C621" s="305"/>
      <c r="D621" s="305"/>
      <c r="E621" s="305"/>
      <c r="F621" s="306"/>
      <c r="G621" s="308" t="s">
        <v>251</v>
      </c>
      <c r="H621" s="303">
        <f t="shared" si="30"/>
        <v>448</v>
      </c>
      <c r="I621" s="303">
        <v>16</v>
      </c>
      <c r="J621" s="305"/>
      <c r="K621" s="305"/>
      <c r="L621" s="307" t="str">
        <f t="shared" si="31"/>
        <v>扩展帧CAN消息</v>
      </c>
      <c r="M621" s="305"/>
    </row>
    <row r="622" spans="1:13">
      <c r="A622" s="305"/>
      <c r="B622" s="305"/>
      <c r="C622" s="305"/>
      <c r="D622" s="305"/>
      <c r="E622" s="305"/>
      <c r="F622" s="306"/>
      <c r="G622" s="308" t="s">
        <v>252</v>
      </c>
      <c r="H622" s="303">
        <f t="shared" si="30"/>
        <v>464</v>
      </c>
      <c r="I622" s="303">
        <v>16</v>
      </c>
      <c r="J622" s="305"/>
      <c r="K622" s="305"/>
      <c r="L622" s="307" t="str">
        <f t="shared" si="31"/>
        <v>扩展帧CAN消息</v>
      </c>
      <c r="M622" s="305"/>
    </row>
    <row r="623" spans="1:13">
      <c r="A623" s="305"/>
      <c r="B623" s="305"/>
      <c r="C623" s="305"/>
      <c r="D623" s="305"/>
      <c r="E623" s="305"/>
      <c r="F623" s="306"/>
      <c r="G623" s="309" t="s">
        <v>88</v>
      </c>
      <c r="H623" s="303">
        <f t="shared" si="30"/>
        <v>480</v>
      </c>
      <c r="I623" s="303">
        <v>4</v>
      </c>
      <c r="J623" s="305"/>
      <c r="K623" s="305"/>
      <c r="L623" s="304" t="str">
        <f t="shared" si="31"/>
        <v/>
      </c>
      <c r="M623" s="305"/>
    </row>
    <row r="624" spans="1:13">
      <c r="A624" s="305"/>
      <c r="B624" s="305"/>
      <c r="C624" s="305"/>
      <c r="D624" s="305"/>
      <c r="E624" s="305"/>
      <c r="F624" s="306"/>
      <c r="G624" s="308" t="s">
        <v>253</v>
      </c>
      <c r="H624" s="303">
        <f t="shared" si="30"/>
        <v>484</v>
      </c>
      <c r="I624" s="303">
        <v>16</v>
      </c>
      <c r="J624" s="305"/>
      <c r="K624" s="305"/>
      <c r="L624" s="307" t="str">
        <f t="shared" si="31"/>
        <v>扩展帧CAN消息</v>
      </c>
      <c r="M624" s="305"/>
    </row>
    <row r="625" spans="1:13">
      <c r="A625" s="305"/>
      <c r="B625" s="305"/>
      <c r="C625" s="305"/>
      <c r="D625" s="305"/>
      <c r="E625" s="305"/>
      <c r="F625" s="306"/>
      <c r="G625" s="308" t="s">
        <v>254</v>
      </c>
      <c r="H625" s="303">
        <f t="shared" si="30"/>
        <v>500</v>
      </c>
      <c r="I625" s="303">
        <v>16</v>
      </c>
      <c r="J625" s="305"/>
      <c r="K625" s="305"/>
      <c r="L625" s="307" t="str">
        <f t="shared" si="31"/>
        <v>扩展帧CAN消息</v>
      </c>
      <c r="M625" s="305"/>
    </row>
    <row r="626" spans="1:13">
      <c r="A626" s="305"/>
      <c r="B626" s="305"/>
      <c r="C626" s="305"/>
      <c r="D626" s="305"/>
      <c r="E626" s="305"/>
      <c r="F626" s="306"/>
      <c r="G626" s="308" t="s">
        <v>255</v>
      </c>
      <c r="H626" s="308">
        <f t="shared" si="30"/>
        <v>516</v>
      </c>
      <c r="I626" s="308">
        <v>16</v>
      </c>
      <c r="J626" s="305"/>
      <c r="K626" s="305"/>
      <c r="L626" s="307" t="str">
        <f t="shared" si="31"/>
        <v>扩展帧CAN消息</v>
      </c>
      <c r="M626" s="305"/>
    </row>
    <row r="627" spans="1:13">
      <c r="A627" s="303" t="s">
        <v>314</v>
      </c>
      <c r="B627" s="303" t="s">
        <v>315</v>
      </c>
      <c r="C627" s="303" t="s">
        <v>213</v>
      </c>
      <c r="D627" s="303" t="s">
        <v>133</v>
      </c>
      <c r="E627" s="303">
        <v>7033</v>
      </c>
      <c r="F627" s="259" t="s">
        <v>86</v>
      </c>
      <c r="G627" s="302" t="s">
        <v>134</v>
      </c>
      <c r="H627" s="303">
        <v>0</v>
      </c>
      <c r="I627" s="303">
        <v>4</v>
      </c>
      <c r="J627" s="303" t="s">
        <v>97</v>
      </c>
      <c r="K627" s="303">
        <v>1000</v>
      </c>
      <c r="L627" s="304" t="str">
        <f t="shared" ref="L627:L642" si="32">IF(RIGHT(G627,5)="FRAME","扩展帧CAN消息","")</f>
        <v/>
      </c>
      <c r="M627" s="300">
        <v>1402202</v>
      </c>
    </row>
    <row r="628" spans="1:13">
      <c r="A628" s="303"/>
      <c r="B628" s="303"/>
      <c r="C628" s="303"/>
      <c r="D628" s="303"/>
      <c r="E628" s="303"/>
      <c r="F628" s="259"/>
      <c r="G628" s="302" t="s">
        <v>120</v>
      </c>
      <c r="H628" s="303">
        <v>4</v>
      </c>
      <c r="I628" s="303">
        <v>4</v>
      </c>
      <c r="J628" s="303"/>
      <c r="K628" s="303"/>
      <c r="L628" s="304" t="str">
        <f t="shared" si="32"/>
        <v/>
      </c>
      <c r="M628" s="305"/>
    </row>
    <row r="629" spans="1:13">
      <c r="A629" s="303"/>
      <c r="B629" s="303"/>
      <c r="C629" s="303"/>
      <c r="D629" s="303"/>
      <c r="E629" s="303"/>
      <c r="F629" s="259"/>
      <c r="G629" s="303" t="s">
        <v>299</v>
      </c>
      <c r="H629" s="303">
        <v>8</v>
      </c>
      <c r="I629" s="303">
        <v>16</v>
      </c>
      <c r="J629" s="303"/>
      <c r="K629" s="303"/>
      <c r="L629" s="307" t="str">
        <f t="shared" si="32"/>
        <v>扩展帧CAN消息</v>
      </c>
      <c r="M629" s="305"/>
    </row>
    <row r="630" spans="1:13">
      <c r="A630" s="303"/>
      <c r="B630" s="303"/>
      <c r="C630" s="303"/>
      <c r="D630" s="303"/>
      <c r="E630" s="303"/>
      <c r="F630" s="259"/>
      <c r="G630" s="303" t="s">
        <v>300</v>
      </c>
      <c r="H630" s="303">
        <f t="shared" ref="H630:H640" si="33">H629+I629</f>
        <v>24</v>
      </c>
      <c r="I630" s="303">
        <v>16</v>
      </c>
      <c r="J630" s="303"/>
      <c r="K630" s="303"/>
      <c r="L630" s="307" t="str">
        <f t="shared" si="32"/>
        <v>扩展帧CAN消息</v>
      </c>
      <c r="M630" s="305"/>
    </row>
    <row r="631" spans="1:13">
      <c r="A631" s="303"/>
      <c r="B631" s="303"/>
      <c r="C631" s="303"/>
      <c r="D631" s="303"/>
      <c r="E631" s="303"/>
      <c r="F631" s="259"/>
      <c r="G631" s="303" t="s">
        <v>301</v>
      </c>
      <c r="H631" s="303">
        <f t="shared" si="33"/>
        <v>40</v>
      </c>
      <c r="I631" s="303">
        <v>16</v>
      </c>
      <c r="J631" s="303"/>
      <c r="K631" s="303"/>
      <c r="L631" s="307" t="str">
        <f t="shared" si="32"/>
        <v>扩展帧CAN消息</v>
      </c>
      <c r="M631" s="305"/>
    </row>
    <row r="632" spans="1:13">
      <c r="A632" s="303"/>
      <c r="B632" s="303"/>
      <c r="C632" s="303"/>
      <c r="D632" s="303"/>
      <c r="E632" s="303"/>
      <c r="F632" s="259"/>
      <c r="G632" s="303" t="s">
        <v>302</v>
      </c>
      <c r="H632" s="303">
        <f t="shared" si="33"/>
        <v>56</v>
      </c>
      <c r="I632" s="303">
        <v>16</v>
      </c>
      <c r="J632" s="303"/>
      <c r="K632" s="303"/>
      <c r="L632" s="307" t="str">
        <f t="shared" si="32"/>
        <v>扩展帧CAN消息</v>
      </c>
      <c r="M632" s="305"/>
    </row>
    <row r="633" spans="1:13">
      <c r="A633" s="303"/>
      <c r="B633" s="303"/>
      <c r="C633" s="303"/>
      <c r="D633" s="303"/>
      <c r="E633" s="303"/>
      <c r="F633" s="259"/>
      <c r="G633" s="302" t="s">
        <v>120</v>
      </c>
      <c r="H633" s="303">
        <f t="shared" si="33"/>
        <v>72</v>
      </c>
      <c r="I633" s="303">
        <v>4</v>
      </c>
      <c r="J633" s="303"/>
      <c r="K633" s="303"/>
      <c r="L633" s="304" t="str">
        <f t="shared" si="32"/>
        <v/>
      </c>
      <c r="M633" s="305"/>
    </row>
    <row r="634" spans="1:13">
      <c r="A634" s="303"/>
      <c r="B634" s="303"/>
      <c r="C634" s="303"/>
      <c r="D634" s="303"/>
      <c r="E634" s="303"/>
      <c r="F634" s="259"/>
      <c r="G634" s="303" t="s">
        <v>303</v>
      </c>
      <c r="H634" s="303">
        <f t="shared" si="33"/>
        <v>76</v>
      </c>
      <c r="I634" s="303">
        <v>16</v>
      </c>
      <c r="J634" s="303"/>
      <c r="K634" s="303"/>
      <c r="L634" s="307" t="str">
        <f t="shared" si="32"/>
        <v>扩展帧CAN消息</v>
      </c>
      <c r="M634" s="305"/>
    </row>
    <row r="635" spans="1:13">
      <c r="A635" s="303"/>
      <c r="B635" s="303"/>
      <c r="C635" s="303"/>
      <c r="D635" s="303"/>
      <c r="E635" s="303"/>
      <c r="F635" s="259"/>
      <c r="G635" s="303" t="s">
        <v>304</v>
      </c>
      <c r="H635" s="303">
        <f t="shared" si="33"/>
        <v>92</v>
      </c>
      <c r="I635" s="303">
        <v>16</v>
      </c>
      <c r="J635" s="303"/>
      <c r="K635" s="303"/>
      <c r="L635" s="307" t="str">
        <f t="shared" si="32"/>
        <v>扩展帧CAN消息</v>
      </c>
      <c r="M635" s="305"/>
    </row>
    <row r="636" spans="1:13">
      <c r="A636" s="303"/>
      <c r="B636" s="303"/>
      <c r="C636" s="303"/>
      <c r="D636" s="303"/>
      <c r="E636" s="303"/>
      <c r="F636" s="259"/>
      <c r="G636" s="303" t="s">
        <v>305</v>
      </c>
      <c r="H636" s="303">
        <f t="shared" si="33"/>
        <v>108</v>
      </c>
      <c r="I636" s="303">
        <v>16</v>
      </c>
      <c r="J636" s="303"/>
      <c r="K636" s="303"/>
      <c r="L636" s="307" t="str">
        <f t="shared" si="32"/>
        <v>扩展帧CAN消息</v>
      </c>
      <c r="M636" s="305"/>
    </row>
    <row r="637" spans="1:13">
      <c r="A637" s="303"/>
      <c r="B637" s="303"/>
      <c r="C637" s="303"/>
      <c r="D637" s="303"/>
      <c r="E637" s="303"/>
      <c r="F637" s="259"/>
      <c r="G637" s="303" t="s">
        <v>306</v>
      </c>
      <c r="H637" s="303">
        <f t="shared" si="33"/>
        <v>124</v>
      </c>
      <c r="I637" s="303">
        <v>16</v>
      </c>
      <c r="J637" s="303"/>
      <c r="K637" s="303"/>
      <c r="L637" s="307" t="str">
        <f t="shared" si="32"/>
        <v>扩展帧CAN消息</v>
      </c>
      <c r="M637" s="305"/>
    </row>
    <row r="638" spans="1:13">
      <c r="A638" s="303"/>
      <c r="B638" s="303"/>
      <c r="C638" s="303"/>
      <c r="D638" s="303"/>
      <c r="E638" s="303"/>
      <c r="F638" s="259"/>
      <c r="G638" s="302" t="s">
        <v>120</v>
      </c>
      <c r="H638" s="303">
        <f t="shared" si="33"/>
        <v>140</v>
      </c>
      <c r="I638" s="303">
        <v>4</v>
      </c>
      <c r="J638" s="303"/>
      <c r="K638" s="303"/>
      <c r="L638" s="304" t="str">
        <f t="shared" si="32"/>
        <v/>
      </c>
      <c r="M638" s="305"/>
    </row>
    <row r="639" spans="1:13">
      <c r="A639" s="303"/>
      <c r="B639" s="303"/>
      <c r="C639" s="303"/>
      <c r="D639" s="303"/>
      <c r="E639" s="303"/>
      <c r="F639" s="259"/>
      <c r="G639" s="303" t="s">
        <v>307</v>
      </c>
      <c r="H639" s="303">
        <f t="shared" si="33"/>
        <v>144</v>
      </c>
      <c r="I639" s="303">
        <v>16</v>
      </c>
      <c r="J639" s="303"/>
      <c r="K639" s="303"/>
      <c r="L639" s="307" t="str">
        <f t="shared" si="32"/>
        <v>扩展帧CAN消息</v>
      </c>
      <c r="M639" s="305"/>
    </row>
    <row r="640" spans="1:13">
      <c r="A640" s="303"/>
      <c r="B640" s="303"/>
      <c r="C640" s="303"/>
      <c r="D640" s="303"/>
      <c r="E640" s="303"/>
      <c r="F640" s="259"/>
      <c r="G640" s="303" t="s">
        <v>308</v>
      </c>
      <c r="H640" s="303">
        <f t="shared" si="33"/>
        <v>160</v>
      </c>
      <c r="I640" s="303">
        <v>16</v>
      </c>
      <c r="J640" s="303"/>
      <c r="K640" s="303"/>
      <c r="L640" s="307" t="str">
        <f t="shared" si="32"/>
        <v>扩展帧CAN消息</v>
      </c>
      <c r="M640" s="315"/>
    </row>
    <row r="641" s="214" customFormat="1" spans="1:13">
      <c r="A641" s="68" t="s">
        <v>310</v>
      </c>
      <c r="B641" s="68" t="s">
        <v>316</v>
      </c>
      <c r="C641" s="68" t="s">
        <v>213</v>
      </c>
      <c r="D641" s="68" t="s">
        <v>317</v>
      </c>
      <c r="E641" s="68">
        <v>7060</v>
      </c>
      <c r="F641" s="68" t="s">
        <v>86</v>
      </c>
      <c r="G641" s="316" t="s">
        <v>87</v>
      </c>
      <c r="H641" s="68">
        <v>0</v>
      </c>
      <c r="I641" s="68">
        <v>4</v>
      </c>
      <c r="J641" s="70" t="s">
        <v>77</v>
      </c>
      <c r="K641" s="70">
        <v>500</v>
      </c>
      <c r="L641" s="312"/>
      <c r="M641" s="68">
        <v>1102201</v>
      </c>
    </row>
    <row r="642" s="214" customFormat="1" spans="1:13">
      <c r="A642" s="68"/>
      <c r="B642" s="68"/>
      <c r="C642" s="68"/>
      <c r="D642" s="68"/>
      <c r="E642" s="68"/>
      <c r="F642" s="68"/>
      <c r="G642" s="316" t="s">
        <v>88</v>
      </c>
      <c r="H642" s="68">
        <f>H641+I641</f>
        <v>4</v>
      </c>
      <c r="I642" s="68">
        <v>4</v>
      </c>
      <c r="J642" s="70"/>
      <c r="K642" s="70"/>
      <c r="L642" s="312"/>
      <c r="M642" s="68"/>
    </row>
    <row r="643" s="214" customFormat="1" spans="1:13">
      <c r="A643" s="68"/>
      <c r="B643" s="68"/>
      <c r="C643" s="68"/>
      <c r="D643" s="68"/>
      <c r="E643" s="68"/>
      <c r="F643" s="68"/>
      <c r="G643" s="75" t="s">
        <v>318</v>
      </c>
      <c r="H643" s="68">
        <f t="shared" ref="H643:H673" si="34">H642+I642</f>
        <v>8</v>
      </c>
      <c r="I643" s="68">
        <v>16</v>
      </c>
      <c r="J643" s="70"/>
      <c r="K643" s="70"/>
      <c r="L643" s="312" t="str">
        <f>IF(RIGHT(G643,5)="FRAME","扩展帧CAN消息","")</f>
        <v>扩展帧CAN消息</v>
      </c>
      <c r="M643" s="68"/>
    </row>
    <row r="644" s="214" customFormat="1" spans="1:13">
      <c r="A644" s="68"/>
      <c r="B644" s="68"/>
      <c r="C644" s="68"/>
      <c r="D644" s="68"/>
      <c r="E644" s="68"/>
      <c r="F644" s="68"/>
      <c r="G644" s="75" t="s">
        <v>319</v>
      </c>
      <c r="H644" s="68">
        <f t="shared" si="34"/>
        <v>24</v>
      </c>
      <c r="I644" s="68">
        <v>16</v>
      </c>
      <c r="J644" s="70"/>
      <c r="K644" s="70"/>
      <c r="L644" s="312" t="str">
        <f>IF(RIGHT(G644,5)="FRAME","扩展帧CAN消息","")</f>
        <v>扩展帧CAN消息</v>
      </c>
      <c r="M644" s="68"/>
    </row>
    <row r="645" s="214" customFormat="1" spans="1:13">
      <c r="A645" s="68"/>
      <c r="B645" s="68"/>
      <c r="C645" s="68"/>
      <c r="D645" s="68"/>
      <c r="E645" s="68"/>
      <c r="F645" s="68"/>
      <c r="G645" s="75" t="s">
        <v>320</v>
      </c>
      <c r="H645" s="68">
        <f t="shared" si="34"/>
        <v>40</v>
      </c>
      <c r="I645" s="68">
        <v>16</v>
      </c>
      <c r="J645" s="70"/>
      <c r="K645" s="70"/>
      <c r="L645" s="312" t="str">
        <f>IF(RIGHT(G645,5)="FRAME","扩展帧CAN消息","")</f>
        <v>扩展帧CAN消息</v>
      </c>
      <c r="M645" s="68"/>
    </row>
    <row r="646" s="214" customFormat="1" spans="1:13">
      <c r="A646" s="68"/>
      <c r="B646" s="68"/>
      <c r="C646" s="68"/>
      <c r="D646" s="68"/>
      <c r="E646" s="68"/>
      <c r="F646" s="68"/>
      <c r="G646" s="75" t="s">
        <v>321</v>
      </c>
      <c r="H646" s="68">
        <f t="shared" si="34"/>
        <v>56</v>
      </c>
      <c r="I646" s="68">
        <v>16</v>
      </c>
      <c r="J646" s="70"/>
      <c r="K646" s="70"/>
      <c r="L646" s="312" t="str">
        <f>IF(RIGHT(G646,5)="FRAME","扩展帧CAN消息","")</f>
        <v>扩展帧CAN消息</v>
      </c>
      <c r="M646" s="68"/>
    </row>
    <row r="647" s="214" customFormat="1" spans="1:13">
      <c r="A647" s="68"/>
      <c r="B647" s="68"/>
      <c r="C647" s="68"/>
      <c r="D647" s="68"/>
      <c r="E647" s="68"/>
      <c r="F647" s="68"/>
      <c r="G647" s="316" t="s">
        <v>88</v>
      </c>
      <c r="H647" s="68">
        <f t="shared" si="34"/>
        <v>72</v>
      </c>
      <c r="I647" s="68">
        <v>4</v>
      </c>
      <c r="J647" s="70"/>
      <c r="K647" s="70"/>
      <c r="L647" s="312" t="str">
        <f>IF(RIGHT(G652,5)="FRAME","扩展帧CAN消息","")</f>
        <v/>
      </c>
      <c r="M647" s="68"/>
    </row>
    <row r="648" s="214" customFormat="1" ht="15" customHeight="1" spans="1:13">
      <c r="A648" s="68"/>
      <c r="B648" s="68"/>
      <c r="C648" s="68"/>
      <c r="D648" s="68"/>
      <c r="E648" s="68"/>
      <c r="F648" s="68"/>
      <c r="G648" s="75" t="s">
        <v>322</v>
      </c>
      <c r="H648" s="68">
        <f t="shared" si="34"/>
        <v>76</v>
      </c>
      <c r="I648" s="68">
        <v>16</v>
      </c>
      <c r="J648" s="70"/>
      <c r="K648" s="70"/>
      <c r="L648" s="312" t="str">
        <f>IF(RIGHT(G648,5)="FRAME","扩展帧CAN消息","")</f>
        <v>扩展帧CAN消息</v>
      </c>
      <c r="M648" s="68"/>
    </row>
    <row r="649" s="214" customFormat="1" spans="1:13">
      <c r="A649" s="68"/>
      <c r="B649" s="68"/>
      <c r="C649" s="68"/>
      <c r="D649" s="68"/>
      <c r="E649" s="68"/>
      <c r="F649" s="68"/>
      <c r="G649" s="75" t="s">
        <v>323</v>
      </c>
      <c r="H649" s="68">
        <f t="shared" si="34"/>
        <v>92</v>
      </c>
      <c r="I649" s="68">
        <v>16</v>
      </c>
      <c r="J649" s="70"/>
      <c r="K649" s="70"/>
      <c r="L649" s="312" t="str">
        <f>IF(RIGHT(G649,5)="FRAME","扩展帧CAN消息","")</f>
        <v>扩展帧CAN消息</v>
      </c>
      <c r="M649" s="68"/>
    </row>
    <row r="650" s="214" customFormat="1" spans="1:13">
      <c r="A650" s="68"/>
      <c r="B650" s="68"/>
      <c r="C650" s="68"/>
      <c r="D650" s="68"/>
      <c r="E650" s="68"/>
      <c r="F650" s="68"/>
      <c r="G650" s="75" t="s">
        <v>324</v>
      </c>
      <c r="H650" s="68">
        <f t="shared" si="34"/>
        <v>108</v>
      </c>
      <c r="I650" s="68">
        <v>16</v>
      </c>
      <c r="J650" s="70"/>
      <c r="K650" s="70"/>
      <c r="L650" s="312" t="e">
        <f>IF(RIGHT(#REF!,5)="FRAME","扩展帧CAN消息","")</f>
        <v>#REF!</v>
      </c>
      <c r="M650" s="68"/>
    </row>
    <row r="651" s="214" customFormat="1" spans="1:13">
      <c r="A651" s="68"/>
      <c r="B651" s="68"/>
      <c r="C651" s="68"/>
      <c r="D651" s="68"/>
      <c r="E651" s="68"/>
      <c r="F651" s="68"/>
      <c r="G651" s="75" t="s">
        <v>325</v>
      </c>
      <c r="H651" s="68">
        <f t="shared" si="34"/>
        <v>124</v>
      </c>
      <c r="I651" s="68">
        <v>16</v>
      </c>
      <c r="J651" s="70"/>
      <c r="K651" s="70"/>
      <c r="L651" s="312" t="str">
        <f>IF(RIGHT(G650,5)="FRAME","扩展帧CAN消息","")</f>
        <v>扩展帧CAN消息</v>
      </c>
      <c r="M651" s="68"/>
    </row>
    <row r="652" s="214" customFormat="1" spans="1:13">
      <c r="A652" s="68"/>
      <c r="B652" s="68"/>
      <c r="C652" s="68"/>
      <c r="D652" s="68"/>
      <c r="E652" s="68"/>
      <c r="F652" s="68"/>
      <c r="G652" s="316" t="s">
        <v>88</v>
      </c>
      <c r="H652" s="68">
        <f t="shared" si="34"/>
        <v>140</v>
      </c>
      <c r="I652" s="68">
        <v>4</v>
      </c>
      <c r="J652" s="70"/>
      <c r="K652" s="70"/>
      <c r="L652" s="312" t="str">
        <f>IF(RIGHT(G651,5)="FRAME","扩展帧CAN消息","")</f>
        <v>扩展帧CAN消息</v>
      </c>
      <c r="M652" s="68"/>
    </row>
    <row r="653" s="214" customFormat="1" spans="1:13">
      <c r="A653" s="68"/>
      <c r="B653" s="68"/>
      <c r="C653" s="68"/>
      <c r="D653" s="68"/>
      <c r="E653" s="68"/>
      <c r="F653" s="68"/>
      <c r="G653" s="75" t="s">
        <v>326</v>
      </c>
      <c r="H653" s="68">
        <f t="shared" si="34"/>
        <v>144</v>
      </c>
      <c r="I653" s="68">
        <v>16</v>
      </c>
      <c r="J653" s="70"/>
      <c r="K653" s="70"/>
      <c r="L653" s="312" t="str">
        <f>IF(RIGHT(G653,5)="FRAME","扩展帧CAN消息","")</f>
        <v>扩展帧CAN消息</v>
      </c>
      <c r="M653" s="68"/>
    </row>
    <row r="654" s="214" customFormat="1" spans="1:13">
      <c r="A654" s="68"/>
      <c r="B654" s="68"/>
      <c r="C654" s="68"/>
      <c r="D654" s="68"/>
      <c r="E654" s="68"/>
      <c r="F654" s="68"/>
      <c r="G654" s="75" t="s">
        <v>327</v>
      </c>
      <c r="H654" s="68">
        <f t="shared" si="34"/>
        <v>160</v>
      </c>
      <c r="I654" s="68">
        <v>16</v>
      </c>
      <c r="J654" s="70"/>
      <c r="K654" s="70"/>
      <c r="L654" s="312" t="str">
        <f>IF(RIGHT(G654,5)="FRAME","扩展帧CAN消息","")</f>
        <v>扩展帧CAN消息</v>
      </c>
      <c r="M654" s="68"/>
    </row>
    <row r="655" s="214" customFormat="1" spans="1:13">
      <c r="A655" s="68"/>
      <c r="B655" s="68"/>
      <c r="C655" s="68"/>
      <c r="D655" s="68"/>
      <c r="E655" s="68"/>
      <c r="F655" s="68"/>
      <c r="G655" s="75" t="s">
        <v>328</v>
      </c>
      <c r="H655" s="68">
        <f t="shared" si="34"/>
        <v>176</v>
      </c>
      <c r="I655" s="68">
        <v>16</v>
      </c>
      <c r="J655" s="70"/>
      <c r="K655" s="70"/>
      <c r="L655" s="312" t="e">
        <f>IF(RIGHT(#REF!,5)="FRAME","扩展帧CAN消息","")</f>
        <v>#REF!</v>
      </c>
      <c r="M655" s="68"/>
    </row>
    <row r="656" s="214" customFormat="1" spans="1:13">
      <c r="A656" s="68"/>
      <c r="B656" s="68"/>
      <c r="C656" s="68"/>
      <c r="D656" s="68"/>
      <c r="E656" s="68"/>
      <c r="F656" s="68"/>
      <c r="G656" s="75" t="s">
        <v>329</v>
      </c>
      <c r="H656" s="68">
        <f t="shared" si="34"/>
        <v>192</v>
      </c>
      <c r="I656" s="68">
        <v>16</v>
      </c>
      <c r="J656" s="70"/>
      <c r="K656" s="70"/>
      <c r="L656" s="312" t="str">
        <f t="shared" ref="L656:L661" si="35">IF(RIGHT(G655,5)="FRAME","扩展帧CAN消息","")</f>
        <v>扩展帧CAN消息</v>
      </c>
      <c r="M656" s="68"/>
    </row>
    <row r="657" s="214" customFormat="1" spans="1:13">
      <c r="A657" s="68"/>
      <c r="B657" s="68"/>
      <c r="C657" s="68"/>
      <c r="D657" s="68"/>
      <c r="E657" s="68"/>
      <c r="F657" s="68"/>
      <c r="G657" s="316" t="s">
        <v>88</v>
      </c>
      <c r="H657" s="68">
        <f t="shared" si="34"/>
        <v>208</v>
      </c>
      <c r="I657" s="68">
        <v>4</v>
      </c>
      <c r="J657" s="70"/>
      <c r="K657" s="70"/>
      <c r="L657" s="312" t="str">
        <f t="shared" si="35"/>
        <v>扩展帧CAN消息</v>
      </c>
      <c r="M657" s="68"/>
    </row>
    <row r="658" s="214" customFormat="1" spans="1:13">
      <c r="A658" s="68"/>
      <c r="B658" s="68"/>
      <c r="C658" s="68"/>
      <c r="D658" s="68"/>
      <c r="E658" s="68"/>
      <c r="F658" s="68"/>
      <c r="G658" s="75" t="s">
        <v>330</v>
      </c>
      <c r="H658" s="68">
        <f t="shared" si="34"/>
        <v>212</v>
      </c>
      <c r="I658" s="68">
        <v>16</v>
      </c>
      <c r="J658" s="70"/>
      <c r="K658" s="70"/>
      <c r="L658" s="312" t="str">
        <f t="shared" si="35"/>
        <v/>
      </c>
      <c r="M658" s="68"/>
    </row>
    <row r="659" s="214" customFormat="1" spans="1:13">
      <c r="A659" s="68"/>
      <c r="B659" s="68"/>
      <c r="C659" s="68"/>
      <c r="D659" s="68"/>
      <c r="E659" s="68"/>
      <c r="F659" s="68"/>
      <c r="G659" s="75" t="s">
        <v>331</v>
      </c>
      <c r="H659" s="68">
        <f t="shared" si="34"/>
        <v>228</v>
      </c>
      <c r="I659" s="68">
        <v>16</v>
      </c>
      <c r="J659" s="70"/>
      <c r="K659" s="70"/>
      <c r="L659" s="312" t="str">
        <f t="shared" si="35"/>
        <v>扩展帧CAN消息</v>
      </c>
      <c r="M659" s="68"/>
    </row>
    <row r="660" s="214" customFormat="1" spans="1:13">
      <c r="A660" s="68"/>
      <c r="B660" s="68"/>
      <c r="C660" s="68"/>
      <c r="D660" s="68"/>
      <c r="E660" s="68"/>
      <c r="F660" s="68"/>
      <c r="G660" s="75" t="s">
        <v>332</v>
      </c>
      <c r="H660" s="68">
        <f t="shared" si="34"/>
        <v>244</v>
      </c>
      <c r="I660" s="68">
        <v>16</v>
      </c>
      <c r="J660" s="70"/>
      <c r="K660" s="70"/>
      <c r="L660" s="312" t="str">
        <f t="shared" si="35"/>
        <v>扩展帧CAN消息</v>
      </c>
      <c r="M660" s="68"/>
    </row>
    <row r="661" s="214" customFormat="1" spans="1:13">
      <c r="A661" s="68"/>
      <c r="B661" s="68"/>
      <c r="C661" s="68"/>
      <c r="D661" s="68"/>
      <c r="E661" s="68"/>
      <c r="F661" s="68"/>
      <c r="G661" s="75" t="s">
        <v>333</v>
      </c>
      <c r="H661" s="68">
        <f t="shared" si="34"/>
        <v>260</v>
      </c>
      <c r="I661" s="68">
        <v>16</v>
      </c>
      <c r="J661" s="70"/>
      <c r="K661" s="70"/>
      <c r="L661" s="312" t="str">
        <f t="shared" si="35"/>
        <v>扩展帧CAN消息</v>
      </c>
      <c r="M661" s="68"/>
    </row>
    <row r="662" s="214" customFormat="1" spans="1:13">
      <c r="A662" s="68"/>
      <c r="B662" s="68"/>
      <c r="C662" s="68"/>
      <c r="D662" s="68"/>
      <c r="E662" s="68"/>
      <c r="F662" s="68"/>
      <c r="G662" s="316" t="s">
        <v>88</v>
      </c>
      <c r="H662" s="68">
        <f t="shared" si="34"/>
        <v>276</v>
      </c>
      <c r="I662" s="68">
        <v>4</v>
      </c>
      <c r="J662" s="70"/>
      <c r="K662" s="70"/>
      <c r="L662" s="312"/>
      <c r="M662" s="68"/>
    </row>
    <row r="663" s="214" customFormat="1" spans="1:13">
      <c r="A663" s="68"/>
      <c r="B663" s="68"/>
      <c r="C663" s="68"/>
      <c r="D663" s="68"/>
      <c r="E663" s="68"/>
      <c r="F663" s="68"/>
      <c r="G663" s="75" t="s">
        <v>334</v>
      </c>
      <c r="H663" s="68">
        <f t="shared" si="34"/>
        <v>280</v>
      </c>
      <c r="I663" s="68">
        <v>16</v>
      </c>
      <c r="J663" s="70"/>
      <c r="K663" s="70"/>
      <c r="L663" s="312" t="str">
        <f>IF(RIGHT(G661,5)="FRAME","扩展帧CAN消息","")</f>
        <v>扩展帧CAN消息</v>
      </c>
      <c r="M663" s="68"/>
    </row>
    <row r="664" s="214" customFormat="1" spans="1:13">
      <c r="A664" s="68"/>
      <c r="B664" s="68"/>
      <c r="C664" s="68"/>
      <c r="D664" s="68"/>
      <c r="E664" s="68"/>
      <c r="F664" s="68"/>
      <c r="G664" s="75" t="s">
        <v>335</v>
      </c>
      <c r="H664" s="68">
        <f t="shared" si="34"/>
        <v>296</v>
      </c>
      <c r="I664" s="68">
        <v>16</v>
      </c>
      <c r="J664" s="70"/>
      <c r="K664" s="70"/>
      <c r="L664" s="312" t="str">
        <f>IF(RIGHT(G663,5)="FRAME","扩展帧CAN消息","")</f>
        <v>扩展帧CAN消息</v>
      </c>
      <c r="M664" s="68"/>
    </row>
    <row r="665" s="214" customFormat="1" spans="1:13">
      <c r="A665" s="68"/>
      <c r="B665" s="68"/>
      <c r="C665" s="68"/>
      <c r="D665" s="68"/>
      <c r="E665" s="68"/>
      <c r="F665" s="68"/>
      <c r="G665" s="75" t="s">
        <v>336</v>
      </c>
      <c r="H665" s="68">
        <f t="shared" si="34"/>
        <v>312</v>
      </c>
      <c r="I665" s="68">
        <v>16</v>
      </c>
      <c r="J665" s="70"/>
      <c r="K665" s="70"/>
      <c r="L665" s="312" t="str">
        <f>IF(RIGHT(G664,5)="FRAME","扩展帧CAN消息","")</f>
        <v>扩展帧CAN消息</v>
      </c>
      <c r="M665" s="68"/>
    </row>
    <row r="666" s="214" customFormat="1" spans="1:13">
      <c r="A666" s="68"/>
      <c r="B666" s="68"/>
      <c r="C666" s="68"/>
      <c r="D666" s="68"/>
      <c r="E666" s="68"/>
      <c r="F666" s="68"/>
      <c r="G666" s="75" t="s">
        <v>337</v>
      </c>
      <c r="H666" s="68">
        <f t="shared" si="34"/>
        <v>328</v>
      </c>
      <c r="I666" s="68">
        <v>16</v>
      </c>
      <c r="J666" s="70"/>
      <c r="K666" s="70"/>
      <c r="L666" s="312" t="e">
        <f>IF(RIGHT(#REF!,5)="FRAME","扩展帧CAN消息","")</f>
        <v>#REF!</v>
      </c>
      <c r="M666" s="68"/>
    </row>
    <row r="667" s="214" customFormat="1" spans="1:13">
      <c r="A667" s="68"/>
      <c r="B667" s="68"/>
      <c r="C667" s="68"/>
      <c r="D667" s="68"/>
      <c r="E667" s="68"/>
      <c r="F667" s="68"/>
      <c r="G667" s="316" t="s">
        <v>88</v>
      </c>
      <c r="H667" s="68">
        <f t="shared" si="34"/>
        <v>344</v>
      </c>
      <c r="I667" s="68">
        <v>4</v>
      </c>
      <c r="J667" s="70"/>
      <c r="K667" s="70"/>
      <c r="L667" s="312" t="str">
        <f t="shared" ref="L667:L673" si="36">IF(RIGHT(G665,5)="FRAME","扩展帧CAN消息","")</f>
        <v>扩展帧CAN消息</v>
      </c>
      <c r="M667" s="68"/>
    </row>
    <row r="668" s="214" customFormat="1" ht="13" customHeight="1" spans="1:13">
      <c r="A668" s="68"/>
      <c r="B668" s="68"/>
      <c r="C668" s="68"/>
      <c r="D668" s="68"/>
      <c r="E668" s="68"/>
      <c r="F668" s="68"/>
      <c r="G668" s="75" t="s">
        <v>338</v>
      </c>
      <c r="H668" s="68">
        <f t="shared" si="34"/>
        <v>348</v>
      </c>
      <c r="I668" s="68">
        <v>16</v>
      </c>
      <c r="J668" s="70"/>
      <c r="K668" s="70"/>
      <c r="L668" s="312" t="str">
        <f t="shared" si="36"/>
        <v>扩展帧CAN消息</v>
      </c>
      <c r="M668" s="68"/>
    </row>
    <row r="669" s="214" customFormat="1" spans="1:13">
      <c r="A669" s="68"/>
      <c r="B669" s="68"/>
      <c r="C669" s="68"/>
      <c r="D669" s="68"/>
      <c r="E669" s="68"/>
      <c r="F669" s="68"/>
      <c r="G669" s="75" t="s">
        <v>339</v>
      </c>
      <c r="H669" s="68">
        <f t="shared" si="34"/>
        <v>364</v>
      </c>
      <c r="I669" s="68">
        <v>16</v>
      </c>
      <c r="J669" s="70"/>
      <c r="K669" s="70"/>
      <c r="L669" s="312" t="str">
        <f t="shared" si="36"/>
        <v/>
      </c>
      <c r="M669" s="68"/>
    </row>
    <row r="670" s="214" customFormat="1" spans="1:13">
      <c r="A670" s="68"/>
      <c r="B670" s="68"/>
      <c r="C670" s="68"/>
      <c r="D670" s="68"/>
      <c r="E670" s="68"/>
      <c r="F670" s="68"/>
      <c r="G670" s="75" t="s">
        <v>340</v>
      </c>
      <c r="H670" s="68">
        <f t="shared" si="34"/>
        <v>380</v>
      </c>
      <c r="I670" s="68">
        <v>16</v>
      </c>
      <c r="J670" s="70"/>
      <c r="K670" s="70"/>
      <c r="L670" s="312" t="str">
        <f t="shared" si="36"/>
        <v>扩展帧CAN消息</v>
      </c>
      <c r="M670" s="68"/>
    </row>
    <row r="671" s="214" customFormat="1" spans="1:13">
      <c r="A671" s="68"/>
      <c r="B671" s="68"/>
      <c r="C671" s="68"/>
      <c r="D671" s="68"/>
      <c r="E671" s="68"/>
      <c r="F671" s="68"/>
      <c r="G671" s="75" t="s">
        <v>341</v>
      </c>
      <c r="H671" s="68">
        <f t="shared" si="34"/>
        <v>396</v>
      </c>
      <c r="I671" s="68">
        <v>16</v>
      </c>
      <c r="J671" s="70"/>
      <c r="K671" s="70"/>
      <c r="L671" s="312" t="str">
        <f t="shared" si="36"/>
        <v>扩展帧CAN消息</v>
      </c>
      <c r="M671" s="68"/>
    </row>
    <row r="672" s="214" customFormat="1" spans="1:13">
      <c r="A672" s="68"/>
      <c r="B672" s="68"/>
      <c r="C672" s="68"/>
      <c r="D672" s="68"/>
      <c r="E672" s="68"/>
      <c r="F672" s="68"/>
      <c r="G672" s="316" t="s">
        <v>88</v>
      </c>
      <c r="H672" s="68">
        <f t="shared" si="34"/>
        <v>412</v>
      </c>
      <c r="I672" s="68">
        <v>4</v>
      </c>
      <c r="J672" s="70"/>
      <c r="K672" s="70"/>
      <c r="L672" s="312" t="str">
        <f t="shared" si="36"/>
        <v>扩展帧CAN消息</v>
      </c>
      <c r="M672" s="68"/>
    </row>
    <row r="673" s="214" customFormat="1" spans="1:13">
      <c r="A673" s="68"/>
      <c r="B673" s="68"/>
      <c r="C673" s="68"/>
      <c r="D673" s="68"/>
      <c r="E673" s="68"/>
      <c r="F673" s="68"/>
      <c r="G673" s="75" t="s">
        <v>342</v>
      </c>
      <c r="H673" s="68">
        <f t="shared" si="34"/>
        <v>416</v>
      </c>
      <c r="I673" s="68">
        <v>16</v>
      </c>
      <c r="J673" s="70"/>
      <c r="K673" s="70"/>
      <c r="L673" s="312" t="str">
        <f t="shared" si="36"/>
        <v>扩展帧CAN消息</v>
      </c>
      <c r="M673" s="68"/>
    </row>
    <row r="674" s="215" customFormat="1" spans="1:13">
      <c r="A674" s="68" t="s">
        <v>310</v>
      </c>
      <c r="B674" s="68" t="s">
        <v>343</v>
      </c>
      <c r="C674" s="68" t="s">
        <v>213</v>
      </c>
      <c r="D674" s="68" t="s">
        <v>317</v>
      </c>
      <c r="E674" s="68">
        <v>7061</v>
      </c>
      <c r="F674" s="68" t="s">
        <v>86</v>
      </c>
      <c r="G674" s="68" t="s">
        <v>18</v>
      </c>
      <c r="H674" s="68">
        <v>0</v>
      </c>
      <c r="I674" s="68">
        <v>4</v>
      </c>
      <c r="J674" s="68" t="s">
        <v>77</v>
      </c>
      <c r="K674" s="68">
        <v>1000</v>
      </c>
      <c r="L674" s="312"/>
      <c r="M674" s="68">
        <v>1102201</v>
      </c>
    </row>
    <row r="675" s="215" customFormat="1" spans="1:13">
      <c r="A675" s="68"/>
      <c r="B675" s="68"/>
      <c r="C675" s="68"/>
      <c r="D675" s="68"/>
      <c r="E675" s="68"/>
      <c r="F675" s="68"/>
      <c r="G675" s="68" t="s">
        <v>20</v>
      </c>
      <c r="H675" s="68">
        <v>4</v>
      </c>
      <c r="I675" s="68">
        <v>4</v>
      </c>
      <c r="J675" s="68"/>
      <c r="K675" s="68"/>
      <c r="L675" s="312"/>
      <c r="M675" s="68"/>
    </row>
    <row r="676" s="215" customFormat="1" spans="1:13">
      <c r="A676" s="68"/>
      <c r="B676" s="68"/>
      <c r="C676" s="68"/>
      <c r="D676" s="68"/>
      <c r="E676" s="68"/>
      <c r="F676" s="68"/>
      <c r="G676" s="68" t="s">
        <v>344</v>
      </c>
      <c r="H676" s="68">
        <v>8</v>
      </c>
      <c r="I676" s="68">
        <v>16</v>
      </c>
      <c r="J676" s="68"/>
      <c r="K676" s="68"/>
      <c r="L676" s="312" t="str">
        <f t="shared" ref="L676:L699" si="37">IF(RIGHT(G676,5)="FRAME","扩展帧CAN消息","")</f>
        <v>扩展帧CAN消息</v>
      </c>
      <c r="M676" s="68"/>
    </row>
    <row r="677" s="215" customFormat="1" spans="1:13">
      <c r="A677" s="68"/>
      <c r="B677" s="68"/>
      <c r="C677" s="68"/>
      <c r="D677" s="68"/>
      <c r="E677" s="68"/>
      <c r="F677" s="68"/>
      <c r="G677" s="68" t="s">
        <v>345</v>
      </c>
      <c r="H677" s="68">
        <v>24</v>
      </c>
      <c r="I677" s="68">
        <v>16</v>
      </c>
      <c r="J677" s="68"/>
      <c r="K677" s="68"/>
      <c r="L677" s="312" t="str">
        <f t="shared" si="37"/>
        <v>扩展帧CAN消息</v>
      </c>
      <c r="M677" s="68"/>
    </row>
    <row r="678" s="215" customFormat="1" spans="1:13">
      <c r="A678" s="68"/>
      <c r="B678" s="68"/>
      <c r="C678" s="68"/>
      <c r="D678" s="68"/>
      <c r="E678" s="68"/>
      <c r="F678" s="68"/>
      <c r="G678" s="68" t="s">
        <v>346</v>
      </c>
      <c r="H678" s="68">
        <v>40</v>
      </c>
      <c r="I678" s="68">
        <v>16</v>
      </c>
      <c r="J678" s="68"/>
      <c r="K678" s="68"/>
      <c r="L678" s="312" t="str">
        <f t="shared" si="37"/>
        <v>扩展帧CAN消息</v>
      </c>
      <c r="M678" s="68"/>
    </row>
    <row r="679" s="215" customFormat="1" spans="1:13">
      <c r="A679" s="68"/>
      <c r="B679" s="68"/>
      <c r="C679" s="68"/>
      <c r="D679" s="68"/>
      <c r="E679" s="68"/>
      <c r="F679" s="68"/>
      <c r="G679" s="68" t="s">
        <v>347</v>
      </c>
      <c r="H679" s="68">
        <v>56</v>
      </c>
      <c r="I679" s="68">
        <v>16</v>
      </c>
      <c r="J679" s="68"/>
      <c r="K679" s="68"/>
      <c r="L679" s="312" t="str">
        <f t="shared" si="37"/>
        <v>扩展帧CAN消息</v>
      </c>
      <c r="M679" s="68"/>
    </row>
    <row r="680" s="215" customFormat="1" spans="1:13">
      <c r="A680" s="68"/>
      <c r="B680" s="68"/>
      <c r="C680" s="68"/>
      <c r="D680" s="68"/>
      <c r="E680" s="68"/>
      <c r="F680" s="68"/>
      <c r="G680" s="68" t="s">
        <v>20</v>
      </c>
      <c r="H680" s="68">
        <v>72</v>
      </c>
      <c r="I680" s="68">
        <v>4</v>
      </c>
      <c r="J680" s="68"/>
      <c r="K680" s="68"/>
      <c r="L680" s="312"/>
      <c r="M680" s="68"/>
    </row>
    <row r="681" s="215" customFormat="1" spans="1:13">
      <c r="A681" s="68"/>
      <c r="B681" s="68"/>
      <c r="C681" s="68"/>
      <c r="D681" s="68"/>
      <c r="E681" s="68"/>
      <c r="F681" s="68"/>
      <c r="G681" s="68" t="s">
        <v>348</v>
      </c>
      <c r="H681" s="68">
        <v>76</v>
      </c>
      <c r="I681" s="68">
        <v>16</v>
      </c>
      <c r="J681" s="68"/>
      <c r="K681" s="68"/>
      <c r="L681" s="312" t="str">
        <f t="shared" si="37"/>
        <v>扩展帧CAN消息</v>
      </c>
      <c r="M681" s="68"/>
    </row>
    <row r="682" s="215" customFormat="1" spans="1:13">
      <c r="A682" s="68"/>
      <c r="B682" s="68"/>
      <c r="C682" s="68"/>
      <c r="D682" s="68"/>
      <c r="E682" s="68"/>
      <c r="F682" s="68"/>
      <c r="G682" s="68" t="s">
        <v>349</v>
      </c>
      <c r="H682" s="68">
        <v>92</v>
      </c>
      <c r="I682" s="68">
        <v>16</v>
      </c>
      <c r="J682" s="68"/>
      <c r="K682" s="68"/>
      <c r="L682" s="312" t="str">
        <f t="shared" si="37"/>
        <v>扩展帧CAN消息</v>
      </c>
      <c r="M682" s="68"/>
    </row>
    <row r="683" s="215" customFormat="1" spans="1:13">
      <c r="A683" s="68"/>
      <c r="B683" s="68"/>
      <c r="C683" s="68"/>
      <c r="D683" s="68"/>
      <c r="E683" s="68"/>
      <c r="F683" s="68"/>
      <c r="G683" s="68" t="s">
        <v>350</v>
      </c>
      <c r="H683" s="68">
        <v>108</v>
      </c>
      <c r="I683" s="68">
        <v>16</v>
      </c>
      <c r="J683" s="68"/>
      <c r="K683" s="68"/>
      <c r="L683" s="312" t="str">
        <f t="shared" si="37"/>
        <v>扩展帧CAN消息</v>
      </c>
      <c r="M683" s="68"/>
    </row>
    <row r="684" s="215" customFormat="1" spans="1:13">
      <c r="A684" s="68"/>
      <c r="B684" s="68"/>
      <c r="C684" s="68"/>
      <c r="D684" s="68"/>
      <c r="E684" s="68"/>
      <c r="F684" s="68"/>
      <c r="G684" s="68" t="s">
        <v>351</v>
      </c>
      <c r="H684" s="68">
        <v>124</v>
      </c>
      <c r="I684" s="68">
        <v>16</v>
      </c>
      <c r="J684" s="68"/>
      <c r="K684" s="68"/>
      <c r="L684" s="312" t="str">
        <f t="shared" si="37"/>
        <v>扩展帧CAN消息</v>
      </c>
      <c r="M684" s="68"/>
    </row>
    <row r="685" s="215" customFormat="1" spans="1:13">
      <c r="A685" s="68"/>
      <c r="B685" s="68"/>
      <c r="C685" s="68"/>
      <c r="D685" s="68"/>
      <c r="E685" s="68"/>
      <c r="F685" s="68"/>
      <c r="G685" s="68" t="s">
        <v>20</v>
      </c>
      <c r="H685" s="68">
        <v>140</v>
      </c>
      <c r="I685" s="68">
        <v>4</v>
      </c>
      <c r="J685" s="68"/>
      <c r="K685" s="68"/>
      <c r="L685" s="312"/>
      <c r="M685" s="68"/>
    </row>
    <row r="686" s="215" customFormat="1" spans="1:13">
      <c r="A686" s="68"/>
      <c r="B686" s="68"/>
      <c r="C686" s="68"/>
      <c r="D686" s="68"/>
      <c r="E686" s="68"/>
      <c r="F686" s="68"/>
      <c r="G686" s="68" t="s">
        <v>352</v>
      </c>
      <c r="H686" s="68">
        <v>144</v>
      </c>
      <c r="I686" s="68">
        <v>16</v>
      </c>
      <c r="J686" s="68"/>
      <c r="K686" s="68"/>
      <c r="L686" s="312" t="str">
        <f t="shared" si="37"/>
        <v>扩展帧CAN消息</v>
      </c>
      <c r="M686" s="68"/>
    </row>
    <row r="687" s="215" customFormat="1" spans="1:13">
      <c r="A687" s="68"/>
      <c r="B687" s="68"/>
      <c r="C687" s="68"/>
      <c r="D687" s="68"/>
      <c r="E687" s="68"/>
      <c r="F687" s="68"/>
      <c r="G687" s="68" t="s">
        <v>353</v>
      </c>
      <c r="H687" s="68">
        <v>160</v>
      </c>
      <c r="I687" s="68">
        <v>16</v>
      </c>
      <c r="J687" s="68"/>
      <c r="K687" s="68"/>
      <c r="L687" s="312" t="str">
        <f t="shared" si="37"/>
        <v>扩展帧CAN消息</v>
      </c>
      <c r="M687" s="68"/>
    </row>
    <row r="688" s="215" customFormat="1" spans="1:13">
      <c r="A688" s="68"/>
      <c r="B688" s="68"/>
      <c r="C688" s="68"/>
      <c r="D688" s="68"/>
      <c r="E688" s="68"/>
      <c r="F688" s="68"/>
      <c r="G688" s="68" t="s">
        <v>354</v>
      </c>
      <c r="H688" s="68">
        <v>176</v>
      </c>
      <c r="I688" s="68">
        <v>16</v>
      </c>
      <c r="J688" s="68"/>
      <c r="K688" s="68"/>
      <c r="L688" s="312" t="str">
        <f t="shared" si="37"/>
        <v>扩展帧CAN消息</v>
      </c>
      <c r="M688" s="68"/>
    </row>
    <row r="689" s="215" customFormat="1" spans="1:13">
      <c r="A689" s="68"/>
      <c r="B689" s="68"/>
      <c r="C689" s="68"/>
      <c r="D689" s="68"/>
      <c r="E689" s="68"/>
      <c r="F689" s="68"/>
      <c r="G689" s="68" t="s">
        <v>355</v>
      </c>
      <c r="H689" s="68">
        <v>192</v>
      </c>
      <c r="I689" s="68">
        <v>16</v>
      </c>
      <c r="J689" s="68"/>
      <c r="K689" s="68"/>
      <c r="L689" s="312" t="str">
        <f t="shared" si="37"/>
        <v>扩展帧CAN消息</v>
      </c>
      <c r="M689" s="68"/>
    </row>
    <row r="690" s="215" customFormat="1" spans="1:13">
      <c r="A690" s="68"/>
      <c r="B690" s="68"/>
      <c r="C690" s="68"/>
      <c r="D690" s="68"/>
      <c r="E690" s="68"/>
      <c r="F690" s="68"/>
      <c r="G690" s="68" t="s">
        <v>20</v>
      </c>
      <c r="H690" s="68">
        <v>208</v>
      </c>
      <c r="I690" s="68">
        <v>4</v>
      </c>
      <c r="J690" s="68"/>
      <c r="K690" s="68"/>
      <c r="L690" s="312"/>
      <c r="M690" s="68"/>
    </row>
    <row r="691" s="215" customFormat="1" spans="1:13">
      <c r="A691" s="68"/>
      <c r="B691" s="68"/>
      <c r="C691" s="68"/>
      <c r="D691" s="68"/>
      <c r="E691" s="68"/>
      <c r="F691" s="68"/>
      <c r="G691" s="68" t="s">
        <v>356</v>
      </c>
      <c r="H691" s="68">
        <v>212</v>
      </c>
      <c r="I691" s="68">
        <v>16</v>
      </c>
      <c r="J691" s="68"/>
      <c r="K691" s="68"/>
      <c r="L691" s="312" t="str">
        <f t="shared" si="37"/>
        <v>扩展帧CAN消息</v>
      </c>
      <c r="M691" s="68"/>
    </row>
    <row r="692" s="215" customFormat="1" spans="1:13">
      <c r="A692" s="68"/>
      <c r="B692" s="68"/>
      <c r="C692" s="68"/>
      <c r="D692" s="68"/>
      <c r="E692" s="68"/>
      <c r="F692" s="68"/>
      <c r="G692" s="68" t="s">
        <v>357</v>
      </c>
      <c r="H692" s="68">
        <v>228</v>
      </c>
      <c r="I692" s="68">
        <v>16</v>
      </c>
      <c r="J692" s="68"/>
      <c r="K692" s="68"/>
      <c r="L692" s="312" t="str">
        <f t="shared" si="37"/>
        <v>扩展帧CAN消息</v>
      </c>
      <c r="M692" s="68"/>
    </row>
    <row r="693" s="215" customFormat="1" spans="1:13">
      <c r="A693" s="68"/>
      <c r="B693" s="68"/>
      <c r="C693" s="68"/>
      <c r="D693" s="68"/>
      <c r="E693" s="68"/>
      <c r="F693" s="68"/>
      <c r="G693" s="68" t="s">
        <v>358</v>
      </c>
      <c r="H693" s="68">
        <v>244</v>
      </c>
      <c r="I693" s="68">
        <v>16</v>
      </c>
      <c r="J693" s="68"/>
      <c r="K693" s="68"/>
      <c r="L693" s="312" t="str">
        <f t="shared" si="37"/>
        <v>扩展帧CAN消息</v>
      </c>
      <c r="M693" s="68"/>
    </row>
    <row r="694" s="215" customFormat="1" spans="1:13">
      <c r="A694" s="68"/>
      <c r="B694" s="68"/>
      <c r="C694" s="68"/>
      <c r="D694" s="68"/>
      <c r="E694" s="68"/>
      <c r="F694" s="68"/>
      <c r="G694" s="68" t="s">
        <v>359</v>
      </c>
      <c r="H694" s="68">
        <v>260</v>
      </c>
      <c r="I694" s="68">
        <v>16</v>
      </c>
      <c r="J694" s="68"/>
      <c r="K694" s="68"/>
      <c r="L694" s="312" t="str">
        <f t="shared" si="37"/>
        <v>扩展帧CAN消息</v>
      </c>
      <c r="M694" s="68"/>
    </row>
    <row r="695" s="215" customFormat="1" spans="1:13">
      <c r="A695" s="68"/>
      <c r="B695" s="68"/>
      <c r="C695" s="68"/>
      <c r="D695" s="68"/>
      <c r="E695" s="68"/>
      <c r="F695" s="68"/>
      <c r="G695" s="68" t="s">
        <v>20</v>
      </c>
      <c r="H695" s="68">
        <v>276</v>
      </c>
      <c r="I695" s="68">
        <v>4</v>
      </c>
      <c r="J695" s="68"/>
      <c r="K695" s="68"/>
      <c r="L695" s="312"/>
      <c r="M695" s="68"/>
    </row>
    <row r="696" s="215" customFormat="1" spans="1:13">
      <c r="A696" s="68"/>
      <c r="B696" s="68"/>
      <c r="C696" s="68"/>
      <c r="D696" s="68"/>
      <c r="E696" s="68"/>
      <c r="F696" s="68"/>
      <c r="G696" s="68" t="s">
        <v>360</v>
      </c>
      <c r="H696" s="68">
        <v>280</v>
      </c>
      <c r="I696" s="68">
        <v>16</v>
      </c>
      <c r="J696" s="68"/>
      <c r="K696" s="68"/>
      <c r="L696" s="312" t="str">
        <f t="shared" si="37"/>
        <v>扩展帧CAN消息</v>
      </c>
      <c r="M696" s="68"/>
    </row>
    <row r="697" s="215" customFormat="1" spans="1:13">
      <c r="A697" s="68"/>
      <c r="B697" s="68"/>
      <c r="C697" s="68"/>
      <c r="D697" s="68"/>
      <c r="E697" s="68"/>
      <c r="F697" s="68"/>
      <c r="G697" s="68" t="s">
        <v>361</v>
      </c>
      <c r="H697" s="68">
        <v>296</v>
      </c>
      <c r="I697" s="68">
        <v>16</v>
      </c>
      <c r="J697" s="68"/>
      <c r="K697" s="68"/>
      <c r="L697" s="312" t="str">
        <f t="shared" si="37"/>
        <v>扩展帧CAN消息</v>
      </c>
      <c r="M697" s="68"/>
    </row>
    <row r="698" s="215" customFormat="1" spans="1:13">
      <c r="A698" s="68"/>
      <c r="B698" s="68"/>
      <c r="C698" s="68"/>
      <c r="D698" s="68"/>
      <c r="E698" s="68"/>
      <c r="F698" s="68"/>
      <c r="G698" s="68" t="s">
        <v>362</v>
      </c>
      <c r="H698" s="68">
        <v>312</v>
      </c>
      <c r="I698" s="68">
        <v>16</v>
      </c>
      <c r="J698" s="68"/>
      <c r="K698" s="68"/>
      <c r="L698" s="312" t="str">
        <f t="shared" si="37"/>
        <v>扩展帧CAN消息</v>
      </c>
      <c r="M698" s="68"/>
    </row>
    <row r="699" s="215" customFormat="1" spans="1:13">
      <c r="A699" s="68"/>
      <c r="B699" s="68"/>
      <c r="C699" s="68"/>
      <c r="D699" s="68"/>
      <c r="E699" s="68"/>
      <c r="F699" s="68"/>
      <c r="G699" s="68" t="s">
        <v>363</v>
      </c>
      <c r="H699" s="68">
        <v>328</v>
      </c>
      <c r="I699" s="68">
        <v>16</v>
      </c>
      <c r="J699" s="68"/>
      <c r="K699" s="68"/>
      <c r="L699" s="312" t="str">
        <f t="shared" si="37"/>
        <v>扩展帧CAN消息</v>
      </c>
      <c r="M699" s="68"/>
    </row>
    <row r="700" s="215" customFormat="1" spans="1:13">
      <c r="A700" s="68"/>
      <c r="B700" s="68"/>
      <c r="C700" s="68"/>
      <c r="D700" s="68"/>
      <c r="E700" s="68"/>
      <c r="F700" s="68"/>
      <c r="G700" s="68" t="s">
        <v>20</v>
      </c>
      <c r="H700" s="68">
        <v>344</v>
      </c>
      <c r="I700" s="68">
        <v>4</v>
      </c>
      <c r="J700" s="68"/>
      <c r="K700" s="68"/>
      <c r="L700" s="312"/>
      <c r="M700" s="68"/>
    </row>
    <row r="701" s="215" customFormat="1" spans="1:13">
      <c r="A701" s="68"/>
      <c r="B701" s="68"/>
      <c r="C701" s="68"/>
      <c r="D701" s="68"/>
      <c r="E701" s="68"/>
      <c r="F701" s="68"/>
      <c r="G701" s="68" t="s">
        <v>364</v>
      </c>
      <c r="H701" s="68">
        <v>348</v>
      </c>
      <c r="I701" s="68">
        <v>16</v>
      </c>
      <c r="J701" s="68"/>
      <c r="K701" s="68"/>
      <c r="L701" s="312" t="str">
        <f t="shared" ref="L701:L714" si="38">IF(RIGHT(G701,5)="FRAME","扩展帧CAN消息","")</f>
        <v>扩展帧CAN消息</v>
      </c>
      <c r="M701" s="68"/>
    </row>
    <row r="702" s="215" customFormat="1" spans="1:13">
      <c r="A702" s="68"/>
      <c r="B702" s="68"/>
      <c r="C702" s="68"/>
      <c r="D702" s="68"/>
      <c r="E702" s="68"/>
      <c r="F702" s="68"/>
      <c r="G702" s="68" t="s">
        <v>365</v>
      </c>
      <c r="H702" s="68">
        <v>364</v>
      </c>
      <c r="I702" s="68">
        <v>16</v>
      </c>
      <c r="J702" s="68"/>
      <c r="K702" s="68"/>
      <c r="L702" s="312" t="str">
        <f t="shared" si="38"/>
        <v>扩展帧CAN消息</v>
      </c>
      <c r="M702" s="68"/>
    </row>
    <row r="703" s="215" customFormat="1" spans="1:13">
      <c r="A703" s="68"/>
      <c r="B703" s="68"/>
      <c r="C703" s="68"/>
      <c r="D703" s="68"/>
      <c r="E703" s="68"/>
      <c r="F703" s="68"/>
      <c r="G703" s="68" t="s">
        <v>366</v>
      </c>
      <c r="H703" s="68">
        <v>380</v>
      </c>
      <c r="I703" s="68">
        <v>16</v>
      </c>
      <c r="J703" s="68"/>
      <c r="K703" s="68"/>
      <c r="L703" s="312" t="str">
        <f t="shared" si="38"/>
        <v>扩展帧CAN消息</v>
      </c>
      <c r="M703" s="68"/>
    </row>
    <row r="704" s="215" customFormat="1" spans="1:13">
      <c r="A704" s="68"/>
      <c r="B704" s="68"/>
      <c r="C704" s="68"/>
      <c r="D704" s="68"/>
      <c r="E704" s="68"/>
      <c r="F704" s="68"/>
      <c r="G704" s="68" t="s">
        <v>367</v>
      </c>
      <c r="H704" s="68">
        <v>396</v>
      </c>
      <c r="I704" s="68">
        <v>16</v>
      </c>
      <c r="J704" s="68"/>
      <c r="K704" s="68"/>
      <c r="L704" s="312" t="str">
        <f t="shared" si="38"/>
        <v>扩展帧CAN消息</v>
      </c>
      <c r="M704" s="68"/>
    </row>
    <row r="705" s="215" customFormat="1" spans="1:13">
      <c r="A705" s="68"/>
      <c r="B705" s="68"/>
      <c r="C705" s="68"/>
      <c r="D705" s="68"/>
      <c r="E705" s="68"/>
      <c r="F705" s="68"/>
      <c r="G705" s="68" t="s">
        <v>20</v>
      </c>
      <c r="H705" s="68">
        <v>412</v>
      </c>
      <c r="I705" s="68">
        <v>4</v>
      </c>
      <c r="J705" s="68"/>
      <c r="K705" s="68"/>
      <c r="L705" s="312"/>
      <c r="M705" s="68"/>
    </row>
    <row r="706" s="215" customFormat="1" spans="1:13">
      <c r="A706" s="68"/>
      <c r="B706" s="68"/>
      <c r="C706" s="68"/>
      <c r="D706" s="68"/>
      <c r="E706" s="68"/>
      <c r="F706" s="68"/>
      <c r="G706" s="68" t="s">
        <v>368</v>
      </c>
      <c r="H706" s="68">
        <v>416</v>
      </c>
      <c r="I706" s="68">
        <v>16</v>
      </c>
      <c r="J706" s="68"/>
      <c r="K706" s="68"/>
      <c r="L706" s="312" t="str">
        <f t="shared" si="38"/>
        <v>扩展帧CAN消息</v>
      </c>
      <c r="M706" s="68"/>
    </row>
    <row r="707" s="215" customFormat="1" spans="1:13">
      <c r="A707" s="68"/>
      <c r="B707" s="68"/>
      <c r="C707" s="68"/>
      <c r="D707" s="68"/>
      <c r="E707" s="68"/>
      <c r="F707" s="68"/>
      <c r="G707" s="68" t="s">
        <v>369</v>
      </c>
      <c r="H707" s="68">
        <v>432</v>
      </c>
      <c r="I707" s="68">
        <v>16</v>
      </c>
      <c r="J707" s="68"/>
      <c r="K707" s="68"/>
      <c r="L707" s="312" t="str">
        <f t="shared" si="38"/>
        <v>扩展帧CAN消息</v>
      </c>
      <c r="M707" s="68"/>
    </row>
    <row r="708" s="215" customFormat="1" spans="1:13">
      <c r="A708" s="68"/>
      <c r="B708" s="68"/>
      <c r="C708" s="68"/>
      <c r="D708" s="68"/>
      <c r="E708" s="68"/>
      <c r="F708" s="68"/>
      <c r="G708" s="68" t="s">
        <v>370</v>
      </c>
      <c r="H708" s="68">
        <v>448</v>
      </c>
      <c r="I708" s="68">
        <v>16</v>
      </c>
      <c r="J708" s="68"/>
      <c r="K708" s="68"/>
      <c r="L708" s="312" t="str">
        <f t="shared" si="38"/>
        <v>扩展帧CAN消息</v>
      </c>
      <c r="M708" s="68"/>
    </row>
    <row r="709" s="215" customFormat="1" spans="1:13">
      <c r="A709" s="68"/>
      <c r="B709" s="68"/>
      <c r="C709" s="68"/>
      <c r="D709" s="68"/>
      <c r="E709" s="68"/>
      <c r="F709" s="68"/>
      <c r="G709" s="68" t="s">
        <v>371</v>
      </c>
      <c r="H709" s="68">
        <v>464</v>
      </c>
      <c r="I709" s="68">
        <v>16</v>
      </c>
      <c r="J709" s="68"/>
      <c r="K709" s="68"/>
      <c r="L709" s="312" t="str">
        <f t="shared" si="38"/>
        <v>扩展帧CAN消息</v>
      </c>
      <c r="M709" s="68"/>
    </row>
    <row r="710" s="215" customFormat="1" spans="1:13">
      <c r="A710" s="68"/>
      <c r="B710" s="68"/>
      <c r="C710" s="68"/>
      <c r="D710" s="68"/>
      <c r="E710" s="68"/>
      <c r="F710" s="68"/>
      <c r="G710" s="68" t="s">
        <v>20</v>
      </c>
      <c r="H710" s="68">
        <v>480</v>
      </c>
      <c r="I710" s="68">
        <v>4</v>
      </c>
      <c r="J710" s="68"/>
      <c r="K710" s="68"/>
      <c r="L710" s="312"/>
      <c r="M710" s="68"/>
    </row>
    <row r="711" s="215" customFormat="1" spans="1:13">
      <c r="A711" s="68"/>
      <c r="B711" s="68"/>
      <c r="C711" s="68"/>
      <c r="D711" s="68"/>
      <c r="E711" s="68"/>
      <c r="F711" s="68"/>
      <c r="G711" s="68" t="s">
        <v>372</v>
      </c>
      <c r="H711" s="68">
        <v>484</v>
      </c>
      <c r="I711" s="68">
        <v>16</v>
      </c>
      <c r="J711" s="68"/>
      <c r="K711" s="68"/>
      <c r="L711" s="312" t="str">
        <f t="shared" si="38"/>
        <v>扩展帧CAN消息</v>
      </c>
      <c r="M711" s="68"/>
    </row>
    <row r="712" s="215" customFormat="1" spans="1:13">
      <c r="A712" s="68"/>
      <c r="B712" s="68"/>
      <c r="C712" s="68"/>
      <c r="D712" s="68"/>
      <c r="E712" s="68"/>
      <c r="F712" s="68"/>
      <c r="G712" s="68" t="s">
        <v>373</v>
      </c>
      <c r="H712" s="68">
        <v>500</v>
      </c>
      <c r="I712" s="68">
        <v>16</v>
      </c>
      <c r="J712" s="68"/>
      <c r="K712" s="68"/>
      <c r="L712" s="312" t="str">
        <f t="shared" si="38"/>
        <v>扩展帧CAN消息</v>
      </c>
      <c r="M712" s="68"/>
    </row>
    <row r="713" s="215" customFormat="1" spans="1:13">
      <c r="A713" s="68"/>
      <c r="B713" s="68"/>
      <c r="C713" s="68"/>
      <c r="D713" s="68"/>
      <c r="E713" s="68"/>
      <c r="F713" s="68"/>
      <c r="G713" s="68" t="s">
        <v>374</v>
      </c>
      <c r="H713" s="68">
        <v>516</v>
      </c>
      <c r="I713" s="68">
        <v>16</v>
      </c>
      <c r="J713" s="68"/>
      <c r="K713" s="68"/>
      <c r="L713" s="312" t="str">
        <f t="shared" si="38"/>
        <v>扩展帧CAN消息</v>
      </c>
      <c r="M713" s="68"/>
    </row>
    <row r="714" s="215" customFormat="1" spans="1:13">
      <c r="A714" s="68"/>
      <c r="B714" s="68"/>
      <c r="C714" s="68"/>
      <c r="D714" s="68"/>
      <c r="E714" s="68"/>
      <c r="F714" s="68"/>
      <c r="G714" s="68" t="s">
        <v>375</v>
      </c>
      <c r="H714" s="68">
        <v>532</v>
      </c>
      <c r="I714" s="68">
        <v>16</v>
      </c>
      <c r="J714" s="68"/>
      <c r="K714" s="68"/>
      <c r="L714" s="312" t="str">
        <f t="shared" si="38"/>
        <v>扩展帧CAN消息</v>
      </c>
      <c r="M714" s="68"/>
    </row>
    <row r="715" s="215" customFormat="1" spans="1:13">
      <c r="A715" s="68"/>
      <c r="B715" s="68"/>
      <c r="C715" s="68"/>
      <c r="D715" s="68"/>
      <c r="E715" s="68"/>
      <c r="F715" s="68"/>
      <c r="G715" s="68" t="s">
        <v>20</v>
      </c>
      <c r="H715" s="68">
        <v>548</v>
      </c>
      <c r="I715" s="68">
        <v>4</v>
      </c>
      <c r="J715" s="68"/>
      <c r="K715" s="68"/>
      <c r="L715" s="68" t="s">
        <v>376</v>
      </c>
      <c r="M715" s="68"/>
    </row>
    <row r="716" s="215" customFormat="1" spans="1:13">
      <c r="A716" s="68"/>
      <c r="B716" s="68"/>
      <c r="C716" s="68"/>
      <c r="D716" s="68"/>
      <c r="E716" s="68"/>
      <c r="F716" s="68"/>
      <c r="G716" s="68" t="s">
        <v>377</v>
      </c>
      <c r="H716" s="68">
        <v>552</v>
      </c>
      <c r="I716" s="68">
        <v>16</v>
      </c>
      <c r="J716" s="68"/>
      <c r="K716" s="68"/>
      <c r="L716" s="312" t="str">
        <f t="shared" ref="L716:L719" si="39">IF(RIGHT(G716,5)="FRAME","扩展帧CAN消息","")</f>
        <v>扩展帧CAN消息</v>
      </c>
      <c r="M716" s="68"/>
    </row>
    <row r="717" s="215" customFormat="1" spans="1:13">
      <c r="A717" s="68"/>
      <c r="B717" s="68"/>
      <c r="C717" s="68"/>
      <c r="D717" s="68"/>
      <c r="E717" s="68"/>
      <c r="F717" s="68"/>
      <c r="G717" s="68" t="s">
        <v>378</v>
      </c>
      <c r="H717" s="68">
        <v>568</v>
      </c>
      <c r="I717" s="68">
        <v>16</v>
      </c>
      <c r="J717" s="68"/>
      <c r="K717" s="68"/>
      <c r="L717" s="312" t="str">
        <f t="shared" si="39"/>
        <v>扩展帧CAN消息</v>
      </c>
      <c r="M717" s="68"/>
    </row>
    <row r="718" s="215" customFormat="1" spans="1:13">
      <c r="A718" s="68"/>
      <c r="B718" s="68"/>
      <c r="C718" s="68"/>
      <c r="D718" s="68"/>
      <c r="E718" s="68"/>
      <c r="F718" s="68"/>
      <c r="G718" s="68" t="s">
        <v>379</v>
      </c>
      <c r="H718" s="68">
        <v>584</v>
      </c>
      <c r="I718" s="68">
        <v>16</v>
      </c>
      <c r="J718" s="68"/>
      <c r="K718" s="68"/>
      <c r="L718" s="312" t="str">
        <f t="shared" si="39"/>
        <v>扩展帧CAN消息</v>
      </c>
      <c r="M718" s="68"/>
    </row>
    <row r="719" s="215" customFormat="1" spans="1:13">
      <c r="A719" s="68"/>
      <c r="B719" s="68"/>
      <c r="C719" s="68"/>
      <c r="D719" s="68"/>
      <c r="E719" s="68"/>
      <c r="F719" s="68"/>
      <c r="G719" s="68" t="s">
        <v>380</v>
      </c>
      <c r="H719" s="68">
        <v>600</v>
      </c>
      <c r="I719" s="68">
        <v>16</v>
      </c>
      <c r="J719" s="68"/>
      <c r="K719" s="68"/>
      <c r="L719" s="312" t="str">
        <f t="shared" si="39"/>
        <v>扩展帧CAN消息</v>
      </c>
      <c r="M719" s="68"/>
    </row>
    <row r="720" s="215" customFormat="1" spans="1:13">
      <c r="A720" s="68"/>
      <c r="B720" s="68"/>
      <c r="C720" s="68"/>
      <c r="D720" s="68"/>
      <c r="E720" s="68"/>
      <c r="F720" s="68"/>
      <c r="G720" s="68" t="s">
        <v>20</v>
      </c>
      <c r="H720" s="68">
        <v>616</v>
      </c>
      <c r="I720" s="68">
        <v>4</v>
      </c>
      <c r="J720" s="68"/>
      <c r="K720" s="68"/>
      <c r="L720" s="312"/>
      <c r="M720" s="68"/>
    </row>
    <row r="721" s="215" customFormat="1" spans="1:13">
      <c r="A721" s="68"/>
      <c r="B721" s="68"/>
      <c r="C721" s="68"/>
      <c r="D721" s="68"/>
      <c r="E721" s="68"/>
      <c r="F721" s="68"/>
      <c r="G721" s="68" t="s">
        <v>381</v>
      </c>
      <c r="H721" s="68">
        <v>620</v>
      </c>
      <c r="I721" s="68">
        <v>16</v>
      </c>
      <c r="J721" s="68"/>
      <c r="K721" s="68"/>
      <c r="L721" s="312" t="str">
        <f t="shared" ref="L721:L724" si="40">IF(RIGHT(G721,5)="FRAME","扩展帧CAN消息","")</f>
        <v>扩展帧CAN消息</v>
      </c>
      <c r="M721" s="68"/>
    </row>
    <row r="722" s="215" customFormat="1" spans="1:13">
      <c r="A722" s="68"/>
      <c r="B722" s="68"/>
      <c r="C722" s="68"/>
      <c r="D722" s="68"/>
      <c r="E722" s="68"/>
      <c r="F722" s="68"/>
      <c r="G722" s="68" t="s">
        <v>382</v>
      </c>
      <c r="H722" s="68">
        <v>636</v>
      </c>
      <c r="I722" s="68">
        <v>16</v>
      </c>
      <c r="J722" s="68"/>
      <c r="K722" s="68"/>
      <c r="L722" s="312" t="str">
        <f t="shared" si="40"/>
        <v>扩展帧CAN消息</v>
      </c>
      <c r="M722" s="68"/>
    </row>
    <row r="723" s="215" customFormat="1" spans="1:13">
      <c r="A723" s="68"/>
      <c r="B723" s="68"/>
      <c r="C723" s="68"/>
      <c r="D723" s="68"/>
      <c r="E723" s="68"/>
      <c r="F723" s="68"/>
      <c r="G723" s="68" t="s">
        <v>383</v>
      </c>
      <c r="H723" s="68">
        <v>652</v>
      </c>
      <c r="I723" s="68">
        <v>16</v>
      </c>
      <c r="J723" s="68"/>
      <c r="K723" s="68"/>
      <c r="L723" s="312" t="str">
        <f t="shared" si="40"/>
        <v>扩展帧CAN消息</v>
      </c>
      <c r="M723" s="68"/>
    </row>
    <row r="724" s="215" customFormat="1" spans="1:13">
      <c r="A724" s="68"/>
      <c r="B724" s="68"/>
      <c r="C724" s="68"/>
      <c r="D724" s="68"/>
      <c r="E724" s="68"/>
      <c r="F724" s="68"/>
      <c r="G724" s="68" t="s">
        <v>384</v>
      </c>
      <c r="H724" s="68">
        <v>668</v>
      </c>
      <c r="I724" s="68">
        <v>16</v>
      </c>
      <c r="J724" s="68"/>
      <c r="K724" s="68"/>
      <c r="L724" s="312" t="str">
        <f t="shared" si="40"/>
        <v>扩展帧CAN消息</v>
      </c>
      <c r="M724" s="68"/>
    </row>
    <row r="725" s="215" customFormat="1" spans="1:13">
      <c r="A725" s="68"/>
      <c r="B725" s="68"/>
      <c r="C725" s="68"/>
      <c r="D725" s="68"/>
      <c r="E725" s="68"/>
      <c r="F725" s="68"/>
      <c r="G725" s="68" t="s">
        <v>20</v>
      </c>
      <c r="H725" s="68">
        <v>684</v>
      </c>
      <c r="I725" s="68">
        <v>4</v>
      </c>
      <c r="J725" s="68"/>
      <c r="K725" s="68"/>
      <c r="L725" s="312"/>
      <c r="M725" s="68"/>
    </row>
    <row r="726" s="215" customFormat="1" spans="1:13">
      <c r="A726" s="68"/>
      <c r="B726" s="68"/>
      <c r="C726" s="68"/>
      <c r="D726" s="68"/>
      <c r="E726" s="68"/>
      <c r="F726" s="68"/>
      <c r="G726" s="68" t="s">
        <v>385</v>
      </c>
      <c r="H726" s="68">
        <v>688</v>
      </c>
      <c r="I726" s="68">
        <v>16</v>
      </c>
      <c r="J726" s="68"/>
      <c r="K726" s="68"/>
      <c r="L726" s="312" t="str">
        <f t="shared" ref="L726:L729" si="41">IF(RIGHT(G726,5)="FRAME","扩展帧CAN消息","")</f>
        <v>扩展帧CAN消息</v>
      </c>
      <c r="M726" s="68"/>
    </row>
    <row r="727" s="215" customFormat="1" spans="1:13">
      <c r="A727" s="68"/>
      <c r="B727" s="68"/>
      <c r="C727" s="68"/>
      <c r="D727" s="68"/>
      <c r="E727" s="68"/>
      <c r="F727" s="68"/>
      <c r="G727" s="68" t="s">
        <v>386</v>
      </c>
      <c r="H727" s="68">
        <v>704</v>
      </c>
      <c r="I727" s="68">
        <v>16</v>
      </c>
      <c r="J727" s="68"/>
      <c r="K727" s="68"/>
      <c r="L727" s="312" t="str">
        <f t="shared" si="41"/>
        <v>扩展帧CAN消息</v>
      </c>
      <c r="M727" s="68"/>
    </row>
    <row r="728" s="215" customFormat="1" spans="1:13">
      <c r="A728" s="68"/>
      <c r="B728" s="68"/>
      <c r="C728" s="68"/>
      <c r="D728" s="68"/>
      <c r="E728" s="68"/>
      <c r="F728" s="68"/>
      <c r="G728" s="68" t="s">
        <v>387</v>
      </c>
      <c r="H728" s="68">
        <v>720</v>
      </c>
      <c r="I728" s="68">
        <v>16</v>
      </c>
      <c r="J728" s="68"/>
      <c r="K728" s="68"/>
      <c r="L728" s="312" t="str">
        <f t="shared" si="41"/>
        <v>扩展帧CAN消息</v>
      </c>
      <c r="M728" s="68"/>
    </row>
    <row r="729" s="215" customFormat="1" spans="1:13">
      <c r="A729" s="68"/>
      <c r="B729" s="68"/>
      <c r="C729" s="68"/>
      <c r="D729" s="68"/>
      <c r="E729" s="68"/>
      <c r="F729" s="68"/>
      <c r="G729" s="68" t="s">
        <v>388</v>
      </c>
      <c r="H729" s="68">
        <v>736</v>
      </c>
      <c r="I729" s="68">
        <v>16</v>
      </c>
      <c r="J729" s="68"/>
      <c r="K729" s="68"/>
      <c r="L729" s="312" t="str">
        <f t="shared" si="41"/>
        <v>扩展帧CAN消息</v>
      </c>
      <c r="M729" s="68"/>
    </row>
    <row r="730" s="215" customFormat="1" spans="1:13">
      <c r="A730" s="68"/>
      <c r="B730" s="68"/>
      <c r="C730" s="68"/>
      <c r="D730" s="68"/>
      <c r="E730" s="68"/>
      <c r="F730" s="68"/>
      <c r="G730" s="68" t="s">
        <v>20</v>
      </c>
      <c r="H730" s="68">
        <v>752</v>
      </c>
      <c r="I730" s="68">
        <v>4</v>
      </c>
      <c r="J730" s="68"/>
      <c r="K730" s="68"/>
      <c r="L730" s="68" t="s">
        <v>376</v>
      </c>
      <c r="M730" s="68"/>
    </row>
    <row r="731" s="215" customFormat="1" spans="1:13">
      <c r="A731" s="68"/>
      <c r="B731" s="68"/>
      <c r="C731" s="68"/>
      <c r="D731" s="68"/>
      <c r="E731" s="68"/>
      <c r="F731" s="68"/>
      <c r="G731" s="68" t="s">
        <v>389</v>
      </c>
      <c r="H731" s="68">
        <v>756</v>
      </c>
      <c r="I731" s="68">
        <v>16</v>
      </c>
      <c r="J731" s="68"/>
      <c r="K731" s="68"/>
      <c r="L731" s="312" t="str">
        <f t="shared" ref="L731:L734" si="42">IF(RIGHT(G731,5)="FRAME","扩展帧CAN消息","")</f>
        <v>扩展帧CAN消息</v>
      </c>
      <c r="M731" s="68"/>
    </row>
    <row r="732" s="215" customFormat="1" spans="1:13">
      <c r="A732" s="68"/>
      <c r="B732" s="68"/>
      <c r="C732" s="68"/>
      <c r="D732" s="68"/>
      <c r="E732" s="68"/>
      <c r="F732" s="68"/>
      <c r="G732" s="68" t="s">
        <v>390</v>
      </c>
      <c r="H732" s="68">
        <v>772</v>
      </c>
      <c r="I732" s="68">
        <v>16</v>
      </c>
      <c r="J732" s="68"/>
      <c r="K732" s="68"/>
      <c r="L732" s="312" t="str">
        <f t="shared" si="42"/>
        <v>扩展帧CAN消息</v>
      </c>
      <c r="M732" s="68"/>
    </row>
    <row r="733" s="215" customFormat="1" spans="1:13">
      <c r="A733" s="68"/>
      <c r="B733" s="68"/>
      <c r="C733" s="68"/>
      <c r="D733" s="68"/>
      <c r="E733" s="68"/>
      <c r="F733" s="68"/>
      <c r="G733" s="68" t="s">
        <v>391</v>
      </c>
      <c r="H733" s="68">
        <v>788</v>
      </c>
      <c r="I733" s="68">
        <v>16</v>
      </c>
      <c r="J733" s="68"/>
      <c r="K733" s="68"/>
      <c r="L733" s="312" t="str">
        <f t="shared" si="42"/>
        <v>扩展帧CAN消息</v>
      </c>
      <c r="M733" s="68"/>
    </row>
    <row r="734" s="215" customFormat="1" spans="1:13">
      <c r="A734" s="68"/>
      <c r="B734" s="68"/>
      <c r="C734" s="68"/>
      <c r="D734" s="68"/>
      <c r="E734" s="68"/>
      <c r="F734" s="68"/>
      <c r="G734" s="68" t="s">
        <v>392</v>
      </c>
      <c r="H734" s="68">
        <v>804</v>
      </c>
      <c r="I734" s="68">
        <v>16</v>
      </c>
      <c r="J734" s="68"/>
      <c r="K734" s="68"/>
      <c r="L734" s="312" t="str">
        <f t="shared" si="42"/>
        <v>扩展帧CAN消息</v>
      </c>
      <c r="M734" s="68"/>
    </row>
    <row r="735" s="215" customFormat="1" spans="1:13">
      <c r="A735" s="68"/>
      <c r="B735" s="68"/>
      <c r="C735" s="68"/>
      <c r="D735" s="68"/>
      <c r="E735" s="68"/>
      <c r="F735" s="68"/>
      <c r="G735" s="68" t="s">
        <v>20</v>
      </c>
      <c r="H735" s="68">
        <v>820</v>
      </c>
      <c r="I735" s="68">
        <v>4</v>
      </c>
      <c r="J735" s="68"/>
      <c r="K735" s="68"/>
      <c r="L735" s="312"/>
      <c r="M735" s="68"/>
    </row>
    <row r="736" s="215" customFormat="1" spans="1:13">
      <c r="A736" s="68"/>
      <c r="B736" s="68"/>
      <c r="C736" s="68"/>
      <c r="D736" s="68"/>
      <c r="E736" s="68"/>
      <c r="F736" s="68"/>
      <c r="G736" s="68" t="s">
        <v>393</v>
      </c>
      <c r="H736" s="68">
        <v>824</v>
      </c>
      <c r="I736" s="68">
        <v>16</v>
      </c>
      <c r="J736" s="68"/>
      <c r="K736" s="68"/>
      <c r="L736" s="312" t="str">
        <f t="shared" ref="L736:L739" si="43">IF(RIGHT(G736,5)="FRAME","扩展帧CAN消息","")</f>
        <v>扩展帧CAN消息</v>
      </c>
      <c r="M736" s="68"/>
    </row>
    <row r="737" s="215" customFormat="1" spans="1:13">
      <c r="A737" s="68"/>
      <c r="B737" s="68"/>
      <c r="C737" s="68"/>
      <c r="D737" s="68"/>
      <c r="E737" s="68"/>
      <c r="F737" s="68"/>
      <c r="G737" s="68" t="s">
        <v>394</v>
      </c>
      <c r="H737" s="68">
        <v>840</v>
      </c>
      <c r="I737" s="68">
        <v>16</v>
      </c>
      <c r="J737" s="68"/>
      <c r="K737" s="68"/>
      <c r="L737" s="312" t="str">
        <f t="shared" si="43"/>
        <v>扩展帧CAN消息</v>
      </c>
      <c r="M737" s="68"/>
    </row>
    <row r="738" s="215" customFormat="1" spans="1:13">
      <c r="A738" s="68"/>
      <c r="B738" s="68"/>
      <c r="C738" s="68"/>
      <c r="D738" s="68"/>
      <c r="E738" s="68"/>
      <c r="F738" s="68"/>
      <c r="G738" s="68" t="s">
        <v>395</v>
      </c>
      <c r="H738" s="68">
        <v>856</v>
      </c>
      <c r="I738" s="68">
        <v>16</v>
      </c>
      <c r="J738" s="68"/>
      <c r="K738" s="68"/>
      <c r="L738" s="312" t="str">
        <f t="shared" si="43"/>
        <v>扩展帧CAN消息</v>
      </c>
      <c r="M738" s="68"/>
    </row>
    <row r="739" s="215" customFormat="1" spans="1:13">
      <c r="A739" s="68"/>
      <c r="B739" s="68"/>
      <c r="C739" s="68"/>
      <c r="D739" s="68"/>
      <c r="E739" s="68"/>
      <c r="F739" s="68"/>
      <c r="G739" s="68" t="s">
        <v>396</v>
      </c>
      <c r="H739" s="68">
        <v>872</v>
      </c>
      <c r="I739" s="68">
        <v>16</v>
      </c>
      <c r="J739" s="68"/>
      <c r="K739" s="68"/>
      <c r="L739" s="312" t="str">
        <f t="shared" si="43"/>
        <v>扩展帧CAN消息</v>
      </c>
      <c r="M739" s="68"/>
    </row>
    <row r="740" s="215" customFormat="1" spans="1:13">
      <c r="A740" s="68"/>
      <c r="B740" s="68"/>
      <c r="C740" s="68"/>
      <c r="D740" s="68"/>
      <c r="E740" s="68"/>
      <c r="F740" s="68"/>
      <c r="G740" s="68" t="s">
        <v>20</v>
      </c>
      <c r="H740" s="68">
        <v>888</v>
      </c>
      <c r="I740" s="68">
        <v>4</v>
      </c>
      <c r="J740" s="68"/>
      <c r="K740" s="68"/>
      <c r="L740" s="312"/>
      <c r="M740" s="68"/>
    </row>
    <row r="741" s="215" customFormat="1" spans="1:13">
      <c r="A741" s="68"/>
      <c r="B741" s="68"/>
      <c r="C741" s="68"/>
      <c r="D741" s="68"/>
      <c r="E741" s="68"/>
      <c r="F741" s="68"/>
      <c r="G741" s="68" t="s">
        <v>397</v>
      </c>
      <c r="H741" s="68">
        <v>892</v>
      </c>
      <c r="I741" s="68">
        <v>16</v>
      </c>
      <c r="J741" s="68"/>
      <c r="K741" s="68"/>
      <c r="L741" s="312" t="str">
        <f t="shared" ref="L741:L744" si="44">IF(RIGHT(G741,5)="FRAME","扩展帧CAN消息","")</f>
        <v>扩展帧CAN消息</v>
      </c>
      <c r="M741" s="68"/>
    </row>
    <row r="742" s="215" customFormat="1" spans="1:13">
      <c r="A742" s="68"/>
      <c r="B742" s="68"/>
      <c r="C742" s="68"/>
      <c r="D742" s="68"/>
      <c r="E742" s="68"/>
      <c r="F742" s="68"/>
      <c r="G742" s="68" t="s">
        <v>398</v>
      </c>
      <c r="H742" s="68">
        <v>908</v>
      </c>
      <c r="I742" s="68">
        <v>16</v>
      </c>
      <c r="J742" s="68"/>
      <c r="K742" s="68"/>
      <c r="L742" s="312" t="str">
        <f t="shared" si="44"/>
        <v>扩展帧CAN消息</v>
      </c>
      <c r="M742" s="68"/>
    </row>
    <row r="743" s="215" customFormat="1" spans="1:13">
      <c r="A743" s="68"/>
      <c r="B743" s="68"/>
      <c r="C743" s="68"/>
      <c r="D743" s="68"/>
      <c r="E743" s="68"/>
      <c r="F743" s="68"/>
      <c r="G743" s="68" t="s">
        <v>399</v>
      </c>
      <c r="H743" s="68">
        <v>924</v>
      </c>
      <c r="I743" s="68">
        <v>16</v>
      </c>
      <c r="J743" s="68"/>
      <c r="K743" s="68"/>
      <c r="L743" s="312" t="str">
        <f t="shared" si="44"/>
        <v>扩展帧CAN消息</v>
      </c>
      <c r="M743" s="68"/>
    </row>
    <row r="744" s="215" customFormat="1" spans="1:13">
      <c r="A744" s="68"/>
      <c r="B744" s="68"/>
      <c r="C744" s="68"/>
      <c r="D744" s="68"/>
      <c r="E744" s="68"/>
      <c r="F744" s="68"/>
      <c r="G744" s="68" t="s">
        <v>400</v>
      </c>
      <c r="H744" s="68">
        <v>940</v>
      </c>
      <c r="I744" s="68">
        <v>16</v>
      </c>
      <c r="J744" s="68"/>
      <c r="K744" s="68"/>
      <c r="L744" s="312" t="str">
        <f t="shared" si="44"/>
        <v>扩展帧CAN消息</v>
      </c>
      <c r="M744" s="68"/>
    </row>
    <row r="745" s="215" customFormat="1" spans="1:13">
      <c r="A745" s="68"/>
      <c r="B745" s="68"/>
      <c r="C745" s="68"/>
      <c r="D745" s="68"/>
      <c r="E745" s="68"/>
      <c r="F745" s="68"/>
      <c r="G745" s="68" t="s">
        <v>20</v>
      </c>
      <c r="H745" s="68">
        <v>956</v>
      </c>
      <c r="I745" s="68">
        <v>4</v>
      </c>
      <c r="J745" s="68"/>
      <c r="K745" s="68"/>
      <c r="L745" s="68" t="s">
        <v>376</v>
      </c>
      <c r="M745" s="68"/>
    </row>
    <row r="746" s="215" customFormat="1" spans="1:13">
      <c r="A746" s="68"/>
      <c r="B746" s="68"/>
      <c r="C746" s="68"/>
      <c r="D746" s="68"/>
      <c r="E746" s="68"/>
      <c r="F746" s="68"/>
      <c r="G746" s="68" t="s">
        <v>401</v>
      </c>
      <c r="H746" s="68">
        <v>960</v>
      </c>
      <c r="I746" s="68">
        <v>16</v>
      </c>
      <c r="J746" s="68"/>
      <c r="K746" s="68"/>
      <c r="L746" s="312" t="str">
        <f t="shared" ref="L746:L749" si="45">IF(RIGHT(G746,5)="FRAME","扩展帧CAN消息","")</f>
        <v>扩展帧CAN消息</v>
      </c>
      <c r="M746" s="68"/>
    </row>
    <row r="747" s="215" customFormat="1" spans="1:13">
      <c r="A747" s="68"/>
      <c r="B747" s="68"/>
      <c r="C747" s="68"/>
      <c r="D747" s="68"/>
      <c r="E747" s="68"/>
      <c r="F747" s="68"/>
      <c r="G747" s="68" t="s">
        <v>402</v>
      </c>
      <c r="H747" s="68">
        <v>976</v>
      </c>
      <c r="I747" s="68">
        <v>16</v>
      </c>
      <c r="J747" s="68"/>
      <c r="K747" s="68"/>
      <c r="L747" s="312" t="str">
        <f t="shared" si="45"/>
        <v>扩展帧CAN消息</v>
      </c>
      <c r="M747" s="68"/>
    </row>
    <row r="748" s="215" customFormat="1" spans="1:13">
      <c r="A748" s="68"/>
      <c r="B748" s="68"/>
      <c r="C748" s="68"/>
      <c r="D748" s="68"/>
      <c r="E748" s="68"/>
      <c r="F748" s="68"/>
      <c r="G748" s="68" t="s">
        <v>403</v>
      </c>
      <c r="H748" s="68">
        <v>992</v>
      </c>
      <c r="I748" s="68">
        <v>16</v>
      </c>
      <c r="J748" s="68"/>
      <c r="K748" s="68"/>
      <c r="L748" s="312" t="str">
        <f t="shared" si="45"/>
        <v>扩展帧CAN消息</v>
      </c>
      <c r="M748" s="68"/>
    </row>
    <row r="749" s="215" customFormat="1" spans="1:13">
      <c r="A749" s="68"/>
      <c r="B749" s="68"/>
      <c r="C749" s="68"/>
      <c r="D749" s="68"/>
      <c r="E749" s="68"/>
      <c r="F749" s="68"/>
      <c r="G749" s="68" t="s">
        <v>404</v>
      </c>
      <c r="H749" s="68">
        <v>1008</v>
      </c>
      <c r="I749" s="68">
        <v>16</v>
      </c>
      <c r="J749" s="68"/>
      <c r="K749" s="68"/>
      <c r="L749" s="312" t="str">
        <f t="shared" si="45"/>
        <v>扩展帧CAN消息</v>
      </c>
      <c r="M749" s="68"/>
    </row>
    <row r="750" s="215" customFormat="1" spans="1:13">
      <c r="A750" s="68"/>
      <c r="B750" s="68"/>
      <c r="C750" s="68"/>
      <c r="D750" s="68"/>
      <c r="E750" s="68"/>
      <c r="F750" s="68"/>
      <c r="G750" s="68" t="s">
        <v>20</v>
      </c>
      <c r="H750" s="68">
        <v>1024</v>
      </c>
      <c r="I750" s="68">
        <v>4</v>
      </c>
      <c r="J750" s="68"/>
      <c r="K750" s="68"/>
      <c r="L750" s="312"/>
      <c r="M750" s="68"/>
    </row>
    <row r="751" s="215" customFormat="1" spans="1:13">
      <c r="A751" s="68"/>
      <c r="B751" s="68"/>
      <c r="C751" s="68"/>
      <c r="D751" s="68"/>
      <c r="E751" s="68"/>
      <c r="F751" s="68"/>
      <c r="G751" s="68" t="s">
        <v>405</v>
      </c>
      <c r="H751" s="68">
        <v>1028</v>
      </c>
      <c r="I751" s="68">
        <v>16</v>
      </c>
      <c r="J751" s="68"/>
      <c r="K751" s="68"/>
      <c r="L751" s="312" t="str">
        <f t="shared" ref="L751:L754" si="46">IF(RIGHT(G751,5)="FRAME","扩展帧CAN消息","")</f>
        <v>扩展帧CAN消息</v>
      </c>
      <c r="M751" s="68"/>
    </row>
    <row r="752" s="215" customFormat="1" spans="1:13">
      <c r="A752" s="68"/>
      <c r="B752" s="68"/>
      <c r="C752" s="68"/>
      <c r="D752" s="68"/>
      <c r="E752" s="68"/>
      <c r="F752" s="68"/>
      <c r="G752" s="68" t="s">
        <v>406</v>
      </c>
      <c r="H752" s="68">
        <v>1044</v>
      </c>
      <c r="I752" s="68">
        <v>16</v>
      </c>
      <c r="J752" s="68"/>
      <c r="K752" s="68"/>
      <c r="L752" s="312" t="str">
        <f t="shared" si="46"/>
        <v>扩展帧CAN消息</v>
      </c>
      <c r="M752" s="68"/>
    </row>
    <row r="753" s="215" customFormat="1" spans="1:13">
      <c r="A753" s="68"/>
      <c r="B753" s="68"/>
      <c r="C753" s="68"/>
      <c r="D753" s="68"/>
      <c r="E753" s="68"/>
      <c r="F753" s="68"/>
      <c r="G753" s="68" t="s">
        <v>407</v>
      </c>
      <c r="H753" s="68">
        <v>1060</v>
      </c>
      <c r="I753" s="68">
        <v>16</v>
      </c>
      <c r="J753" s="68"/>
      <c r="K753" s="68"/>
      <c r="L753" s="312" t="str">
        <f t="shared" si="46"/>
        <v>扩展帧CAN消息</v>
      </c>
      <c r="M753" s="68"/>
    </row>
    <row r="754" s="215" customFormat="1" spans="1:13">
      <c r="A754" s="68"/>
      <c r="B754" s="68"/>
      <c r="C754" s="68"/>
      <c r="D754" s="68"/>
      <c r="E754" s="68"/>
      <c r="F754" s="68"/>
      <c r="G754" s="68" t="s">
        <v>408</v>
      </c>
      <c r="H754" s="68">
        <v>1076</v>
      </c>
      <c r="I754" s="68">
        <v>16</v>
      </c>
      <c r="J754" s="68"/>
      <c r="K754" s="68"/>
      <c r="L754" s="312" t="str">
        <f t="shared" si="46"/>
        <v>扩展帧CAN消息</v>
      </c>
      <c r="M754" s="68"/>
    </row>
    <row r="755" s="215" customFormat="1" spans="1:13">
      <c r="A755" s="68"/>
      <c r="B755" s="68"/>
      <c r="C755" s="68"/>
      <c r="D755" s="68"/>
      <c r="E755" s="68"/>
      <c r="F755" s="68"/>
      <c r="G755" s="68" t="s">
        <v>20</v>
      </c>
      <c r="H755" s="68">
        <v>1092</v>
      </c>
      <c r="I755" s="68">
        <v>4</v>
      </c>
      <c r="J755" s="68"/>
      <c r="K755" s="68"/>
      <c r="L755" s="312"/>
      <c r="M755" s="68"/>
    </row>
    <row r="756" s="215" customFormat="1" spans="1:13">
      <c r="A756" s="68"/>
      <c r="B756" s="68"/>
      <c r="C756" s="68"/>
      <c r="D756" s="68"/>
      <c r="E756" s="68"/>
      <c r="F756" s="68"/>
      <c r="G756" s="68" t="s">
        <v>409</v>
      </c>
      <c r="H756" s="68">
        <v>1096</v>
      </c>
      <c r="I756" s="68">
        <v>16</v>
      </c>
      <c r="J756" s="68"/>
      <c r="K756" s="68"/>
      <c r="L756" s="312" t="str">
        <f>IF(RIGHT(G756,5)="FRAME","扩展帧CAN消息","")</f>
        <v>扩展帧CAN消息</v>
      </c>
      <c r="M756" s="68"/>
    </row>
    <row r="757" customFormat="1" ht="13" customHeight="1" spans="1:13">
      <c r="A757" s="68" t="s">
        <v>410</v>
      </c>
      <c r="B757" s="68" t="s">
        <v>411</v>
      </c>
      <c r="C757" s="68" t="s">
        <v>213</v>
      </c>
      <c r="D757" s="68" t="s">
        <v>317</v>
      </c>
      <c r="E757" s="68">
        <v>7062</v>
      </c>
      <c r="F757" s="68" t="s">
        <v>86</v>
      </c>
      <c r="G757" s="68" t="s">
        <v>18</v>
      </c>
      <c r="H757" s="68">
        <v>0</v>
      </c>
      <c r="I757" s="68">
        <v>4</v>
      </c>
      <c r="J757" s="70" t="s">
        <v>77</v>
      </c>
      <c r="K757" s="70">
        <v>1000</v>
      </c>
      <c r="L757" s="312"/>
      <c r="M757" s="68">
        <v>1102201</v>
      </c>
    </row>
    <row r="758" customFormat="1" ht="13" customHeight="1" spans="1:13">
      <c r="A758" s="68"/>
      <c r="B758" s="68"/>
      <c r="C758" s="68"/>
      <c r="D758" s="68"/>
      <c r="E758" s="68"/>
      <c r="F758" s="68"/>
      <c r="G758" s="68" t="s">
        <v>20</v>
      </c>
      <c r="H758" s="68">
        <v>4</v>
      </c>
      <c r="I758" s="68">
        <v>4</v>
      </c>
      <c r="J758" s="70"/>
      <c r="K758" s="70"/>
      <c r="L758" s="312"/>
      <c r="M758" s="68"/>
    </row>
    <row r="759" s="215" customFormat="1" spans="1:13">
      <c r="A759" s="68"/>
      <c r="B759" s="68"/>
      <c r="C759" s="68"/>
      <c r="D759" s="68"/>
      <c r="E759" s="68"/>
      <c r="F759" s="68"/>
      <c r="G759" s="68" t="s">
        <v>412</v>
      </c>
      <c r="H759" s="68">
        <f>H758+I758</f>
        <v>8</v>
      </c>
      <c r="I759" s="68">
        <v>16</v>
      </c>
      <c r="J759" s="70"/>
      <c r="K759" s="70"/>
      <c r="L759" s="312" t="str">
        <f t="shared" ref="L759:L762" si="47">IF(RIGHT(G759,5)="FRAME","扩展帧CAN消息","")</f>
        <v>扩展帧CAN消息</v>
      </c>
      <c r="M759" s="68"/>
    </row>
    <row r="760" s="215" customFormat="1" spans="1:13">
      <c r="A760" s="68"/>
      <c r="B760" s="68"/>
      <c r="C760" s="68"/>
      <c r="D760" s="68"/>
      <c r="E760" s="68"/>
      <c r="F760" s="68"/>
      <c r="G760" s="68" t="s">
        <v>413</v>
      </c>
      <c r="H760" s="68">
        <f t="shared" ref="H760:H806" si="48">H759+I759</f>
        <v>24</v>
      </c>
      <c r="I760" s="68">
        <v>16</v>
      </c>
      <c r="J760" s="70"/>
      <c r="K760" s="70"/>
      <c r="L760" s="312" t="str">
        <f t="shared" si="47"/>
        <v>扩展帧CAN消息</v>
      </c>
      <c r="M760" s="68"/>
    </row>
    <row r="761" s="215" customFormat="1" spans="1:13">
      <c r="A761" s="68"/>
      <c r="B761" s="68"/>
      <c r="C761" s="68"/>
      <c r="D761" s="68"/>
      <c r="E761" s="68"/>
      <c r="F761" s="68"/>
      <c r="G761" s="68" t="s">
        <v>414</v>
      </c>
      <c r="H761" s="68">
        <f t="shared" si="48"/>
        <v>40</v>
      </c>
      <c r="I761" s="68">
        <v>16</v>
      </c>
      <c r="J761" s="70"/>
      <c r="K761" s="70"/>
      <c r="L761" s="312" t="str">
        <f t="shared" si="47"/>
        <v>扩展帧CAN消息</v>
      </c>
      <c r="M761" s="68"/>
    </row>
    <row r="762" s="215" customFormat="1" spans="1:13">
      <c r="A762" s="68"/>
      <c r="B762" s="68"/>
      <c r="C762" s="68"/>
      <c r="D762" s="68"/>
      <c r="E762" s="68"/>
      <c r="F762" s="68"/>
      <c r="G762" s="68" t="s">
        <v>415</v>
      </c>
      <c r="H762" s="68">
        <f t="shared" si="48"/>
        <v>56</v>
      </c>
      <c r="I762" s="68">
        <v>16</v>
      </c>
      <c r="J762" s="70"/>
      <c r="K762" s="70"/>
      <c r="L762" s="312" t="str">
        <f t="shared" si="47"/>
        <v>扩展帧CAN消息</v>
      </c>
      <c r="M762" s="68"/>
    </row>
    <row r="763" s="215" customFormat="1" spans="1:13">
      <c r="A763" s="68"/>
      <c r="B763" s="68"/>
      <c r="C763" s="68"/>
      <c r="D763" s="68"/>
      <c r="E763" s="68"/>
      <c r="F763" s="68"/>
      <c r="G763" s="68" t="s">
        <v>20</v>
      </c>
      <c r="H763" s="68">
        <f t="shared" si="48"/>
        <v>72</v>
      </c>
      <c r="I763" s="68">
        <v>4</v>
      </c>
      <c r="J763" s="70"/>
      <c r="K763" s="70"/>
      <c r="L763" s="312"/>
      <c r="M763" s="68"/>
    </row>
    <row r="764" s="215" customFormat="1" spans="1:13">
      <c r="A764" s="68"/>
      <c r="B764" s="68"/>
      <c r="C764" s="68"/>
      <c r="D764" s="68"/>
      <c r="E764" s="68"/>
      <c r="F764" s="68"/>
      <c r="G764" s="68" t="s">
        <v>416</v>
      </c>
      <c r="H764" s="68">
        <f t="shared" si="48"/>
        <v>76</v>
      </c>
      <c r="I764" s="68">
        <v>16</v>
      </c>
      <c r="J764" s="70"/>
      <c r="K764" s="70"/>
      <c r="L764" s="312" t="str">
        <f t="shared" ref="L764:L767" si="49">IF(RIGHT(G764,5)="FRAME","扩展帧CAN消息","")</f>
        <v>扩展帧CAN消息</v>
      </c>
      <c r="M764" s="68"/>
    </row>
    <row r="765" s="215" customFormat="1" spans="1:13">
      <c r="A765" s="68"/>
      <c r="B765" s="68"/>
      <c r="C765" s="68"/>
      <c r="D765" s="68"/>
      <c r="E765" s="68"/>
      <c r="F765" s="68"/>
      <c r="G765" s="68" t="s">
        <v>417</v>
      </c>
      <c r="H765" s="68">
        <f t="shared" si="48"/>
        <v>92</v>
      </c>
      <c r="I765" s="68">
        <v>16</v>
      </c>
      <c r="J765" s="70"/>
      <c r="K765" s="70"/>
      <c r="L765" s="312" t="str">
        <f t="shared" si="49"/>
        <v>扩展帧CAN消息</v>
      </c>
      <c r="M765" s="68"/>
    </row>
    <row r="766" s="215" customFormat="1" spans="1:13">
      <c r="A766" s="68"/>
      <c r="B766" s="68"/>
      <c r="C766" s="68"/>
      <c r="D766" s="68"/>
      <c r="E766" s="68"/>
      <c r="F766" s="68"/>
      <c r="G766" s="68" t="s">
        <v>418</v>
      </c>
      <c r="H766" s="68">
        <f t="shared" si="48"/>
        <v>108</v>
      </c>
      <c r="I766" s="68">
        <v>16</v>
      </c>
      <c r="J766" s="70"/>
      <c r="K766" s="70"/>
      <c r="L766" s="312" t="str">
        <f t="shared" si="49"/>
        <v>扩展帧CAN消息</v>
      </c>
      <c r="M766" s="68"/>
    </row>
    <row r="767" s="215" customFormat="1" spans="1:13">
      <c r="A767" s="68"/>
      <c r="B767" s="68"/>
      <c r="C767" s="68"/>
      <c r="D767" s="68"/>
      <c r="E767" s="68"/>
      <c r="F767" s="68"/>
      <c r="G767" s="68" t="s">
        <v>419</v>
      </c>
      <c r="H767" s="68">
        <f t="shared" si="48"/>
        <v>124</v>
      </c>
      <c r="I767" s="68">
        <v>16</v>
      </c>
      <c r="J767" s="70"/>
      <c r="K767" s="70"/>
      <c r="L767" s="312" t="str">
        <f t="shared" si="49"/>
        <v>扩展帧CAN消息</v>
      </c>
      <c r="M767" s="68"/>
    </row>
    <row r="768" s="215" customFormat="1" spans="1:13">
      <c r="A768" s="68"/>
      <c r="B768" s="68"/>
      <c r="C768" s="68"/>
      <c r="D768" s="68"/>
      <c r="E768" s="68"/>
      <c r="F768" s="68"/>
      <c r="G768" s="68" t="s">
        <v>20</v>
      </c>
      <c r="H768" s="68">
        <f t="shared" si="48"/>
        <v>140</v>
      </c>
      <c r="I768" s="68">
        <v>4</v>
      </c>
      <c r="J768" s="70"/>
      <c r="K768" s="70"/>
      <c r="L768" s="312"/>
      <c r="M768" s="68"/>
    </row>
    <row r="769" s="215" customFormat="1" spans="1:13">
      <c r="A769" s="68"/>
      <c r="B769" s="68"/>
      <c r="C769" s="68"/>
      <c r="D769" s="68"/>
      <c r="E769" s="68"/>
      <c r="F769" s="68"/>
      <c r="G769" s="68" t="s">
        <v>420</v>
      </c>
      <c r="H769" s="68">
        <f t="shared" si="48"/>
        <v>144</v>
      </c>
      <c r="I769" s="68">
        <v>16</v>
      </c>
      <c r="J769" s="70"/>
      <c r="K769" s="70"/>
      <c r="L769" s="312" t="str">
        <f t="shared" ref="L769:L772" si="50">IF(RIGHT(G769,5)="FRAME","扩展帧CAN消息","")</f>
        <v>扩展帧CAN消息</v>
      </c>
      <c r="M769" s="68"/>
    </row>
    <row r="770" s="215" customFormat="1" spans="1:13">
      <c r="A770" s="68"/>
      <c r="B770" s="68"/>
      <c r="C770" s="68"/>
      <c r="D770" s="68"/>
      <c r="E770" s="68"/>
      <c r="F770" s="68"/>
      <c r="G770" s="68" t="s">
        <v>421</v>
      </c>
      <c r="H770" s="68">
        <f t="shared" si="48"/>
        <v>160</v>
      </c>
      <c r="I770" s="68">
        <v>16</v>
      </c>
      <c r="J770" s="70"/>
      <c r="K770" s="70"/>
      <c r="L770" s="312" t="str">
        <f t="shared" si="50"/>
        <v>扩展帧CAN消息</v>
      </c>
      <c r="M770" s="68"/>
    </row>
    <row r="771" s="215" customFormat="1" spans="1:13">
      <c r="A771" s="68"/>
      <c r="B771" s="68"/>
      <c r="C771" s="68"/>
      <c r="D771" s="68"/>
      <c r="E771" s="68"/>
      <c r="F771" s="68"/>
      <c r="G771" s="68" t="s">
        <v>422</v>
      </c>
      <c r="H771" s="68">
        <f t="shared" si="48"/>
        <v>176</v>
      </c>
      <c r="I771" s="68">
        <v>16</v>
      </c>
      <c r="J771" s="70"/>
      <c r="K771" s="70"/>
      <c r="L771" s="312" t="str">
        <f t="shared" si="50"/>
        <v>扩展帧CAN消息</v>
      </c>
      <c r="M771" s="68"/>
    </row>
    <row r="772" s="215" customFormat="1" spans="1:13">
      <c r="A772" s="68"/>
      <c r="B772" s="68"/>
      <c r="C772" s="68"/>
      <c r="D772" s="68"/>
      <c r="E772" s="68"/>
      <c r="F772" s="68"/>
      <c r="G772" s="68" t="s">
        <v>423</v>
      </c>
      <c r="H772" s="68">
        <f t="shared" si="48"/>
        <v>192</v>
      </c>
      <c r="I772" s="68">
        <v>16</v>
      </c>
      <c r="J772" s="70"/>
      <c r="K772" s="70"/>
      <c r="L772" s="312" t="str">
        <f t="shared" si="50"/>
        <v>扩展帧CAN消息</v>
      </c>
      <c r="M772" s="68"/>
    </row>
    <row r="773" s="215" customFormat="1" spans="1:13">
      <c r="A773" s="68"/>
      <c r="B773" s="68"/>
      <c r="C773" s="68"/>
      <c r="D773" s="68"/>
      <c r="E773" s="68"/>
      <c r="F773" s="68"/>
      <c r="G773" s="68" t="s">
        <v>20</v>
      </c>
      <c r="H773" s="68">
        <f t="shared" si="48"/>
        <v>208</v>
      </c>
      <c r="I773" s="68">
        <v>4</v>
      </c>
      <c r="J773" s="70"/>
      <c r="K773" s="70"/>
      <c r="L773" s="312"/>
      <c r="M773" s="68"/>
    </row>
    <row r="774" s="215" customFormat="1" spans="1:13">
      <c r="A774" s="68"/>
      <c r="B774" s="68"/>
      <c r="C774" s="68"/>
      <c r="D774" s="68"/>
      <c r="E774" s="68"/>
      <c r="F774" s="68"/>
      <c r="G774" s="68" t="s">
        <v>424</v>
      </c>
      <c r="H774" s="68">
        <f t="shared" si="48"/>
        <v>212</v>
      </c>
      <c r="I774" s="68">
        <v>16</v>
      </c>
      <c r="J774" s="70"/>
      <c r="K774" s="70"/>
      <c r="L774" s="312" t="str">
        <f t="shared" ref="L774:L777" si="51">IF(RIGHT(G774,5)="FRAME","扩展帧CAN消息","")</f>
        <v>扩展帧CAN消息</v>
      </c>
      <c r="M774" s="68"/>
    </row>
    <row r="775" s="215" customFormat="1" spans="1:13">
      <c r="A775" s="68"/>
      <c r="B775" s="68"/>
      <c r="C775" s="68"/>
      <c r="D775" s="68"/>
      <c r="E775" s="68"/>
      <c r="F775" s="68"/>
      <c r="G775" s="68" t="s">
        <v>425</v>
      </c>
      <c r="H775" s="68">
        <f t="shared" si="48"/>
        <v>228</v>
      </c>
      <c r="I775" s="68">
        <v>16</v>
      </c>
      <c r="J775" s="70"/>
      <c r="K775" s="70"/>
      <c r="L775" s="312" t="str">
        <f t="shared" si="51"/>
        <v>扩展帧CAN消息</v>
      </c>
      <c r="M775" s="68"/>
    </row>
    <row r="776" s="215" customFormat="1" spans="1:13">
      <c r="A776" s="68"/>
      <c r="B776" s="68"/>
      <c r="C776" s="68"/>
      <c r="D776" s="68"/>
      <c r="E776" s="68"/>
      <c r="F776" s="68"/>
      <c r="G776" s="68" t="s">
        <v>426</v>
      </c>
      <c r="H776" s="68">
        <f t="shared" si="48"/>
        <v>244</v>
      </c>
      <c r="I776" s="68">
        <v>16</v>
      </c>
      <c r="J776" s="70"/>
      <c r="K776" s="70"/>
      <c r="L776" s="312" t="str">
        <f t="shared" si="51"/>
        <v>扩展帧CAN消息</v>
      </c>
      <c r="M776" s="68"/>
    </row>
    <row r="777" s="215" customFormat="1" spans="1:13">
      <c r="A777" s="68"/>
      <c r="B777" s="68"/>
      <c r="C777" s="68"/>
      <c r="D777" s="68"/>
      <c r="E777" s="68"/>
      <c r="F777" s="68"/>
      <c r="G777" s="68" t="s">
        <v>427</v>
      </c>
      <c r="H777" s="68">
        <f t="shared" si="48"/>
        <v>260</v>
      </c>
      <c r="I777" s="68">
        <v>16</v>
      </c>
      <c r="J777" s="70"/>
      <c r="K777" s="70"/>
      <c r="L777" s="312" t="str">
        <f t="shared" si="51"/>
        <v>扩展帧CAN消息</v>
      </c>
      <c r="M777" s="68"/>
    </row>
    <row r="778" s="215" customFormat="1" spans="1:13">
      <c r="A778" s="68"/>
      <c r="B778" s="68"/>
      <c r="C778" s="68"/>
      <c r="D778" s="68"/>
      <c r="E778" s="68"/>
      <c r="F778" s="68"/>
      <c r="G778" s="68" t="s">
        <v>20</v>
      </c>
      <c r="H778" s="68">
        <f t="shared" si="48"/>
        <v>276</v>
      </c>
      <c r="I778" s="68">
        <v>4</v>
      </c>
      <c r="J778" s="70"/>
      <c r="K778" s="70"/>
      <c r="L778" s="312"/>
      <c r="M778" s="68"/>
    </row>
    <row r="779" s="215" customFormat="1" spans="1:13">
      <c r="A779" s="68"/>
      <c r="B779" s="68"/>
      <c r="C779" s="68"/>
      <c r="D779" s="68"/>
      <c r="E779" s="68"/>
      <c r="F779" s="68"/>
      <c r="G779" s="68" t="s">
        <v>428</v>
      </c>
      <c r="H779" s="68">
        <f t="shared" si="48"/>
        <v>280</v>
      </c>
      <c r="I779" s="68">
        <v>16</v>
      </c>
      <c r="J779" s="70"/>
      <c r="K779" s="70"/>
      <c r="L779" s="312" t="str">
        <f t="shared" ref="L779:L782" si="52">IF(RIGHT(G779,5)="FRAME","扩展帧CAN消息","")</f>
        <v>扩展帧CAN消息</v>
      </c>
      <c r="M779" s="68"/>
    </row>
    <row r="780" s="215" customFormat="1" spans="1:13">
      <c r="A780" s="68"/>
      <c r="B780" s="68"/>
      <c r="C780" s="68"/>
      <c r="D780" s="68"/>
      <c r="E780" s="68"/>
      <c r="F780" s="68"/>
      <c r="G780" s="68" t="s">
        <v>429</v>
      </c>
      <c r="H780" s="68">
        <f t="shared" si="48"/>
        <v>296</v>
      </c>
      <c r="I780" s="68">
        <v>16</v>
      </c>
      <c r="J780" s="70"/>
      <c r="K780" s="70"/>
      <c r="L780" s="312" t="str">
        <f t="shared" si="52"/>
        <v>扩展帧CAN消息</v>
      </c>
      <c r="M780" s="68"/>
    </row>
    <row r="781" s="215" customFormat="1" spans="1:13">
      <c r="A781" s="68"/>
      <c r="B781" s="68"/>
      <c r="C781" s="68"/>
      <c r="D781" s="68"/>
      <c r="E781" s="68"/>
      <c r="F781" s="68"/>
      <c r="G781" s="68" t="s">
        <v>430</v>
      </c>
      <c r="H781" s="68">
        <f t="shared" si="48"/>
        <v>312</v>
      </c>
      <c r="I781" s="68">
        <v>16</v>
      </c>
      <c r="J781" s="70"/>
      <c r="K781" s="70"/>
      <c r="L781" s="312" t="str">
        <f t="shared" si="52"/>
        <v>扩展帧CAN消息</v>
      </c>
      <c r="M781" s="68"/>
    </row>
    <row r="782" s="215" customFormat="1" spans="1:13">
      <c r="A782" s="68"/>
      <c r="B782" s="68"/>
      <c r="C782" s="68"/>
      <c r="D782" s="68"/>
      <c r="E782" s="68"/>
      <c r="F782" s="68"/>
      <c r="G782" s="68" t="s">
        <v>431</v>
      </c>
      <c r="H782" s="68">
        <f t="shared" si="48"/>
        <v>328</v>
      </c>
      <c r="I782" s="68">
        <v>16</v>
      </c>
      <c r="J782" s="70"/>
      <c r="K782" s="70"/>
      <c r="L782" s="312" t="str">
        <f t="shared" si="52"/>
        <v>扩展帧CAN消息</v>
      </c>
      <c r="M782" s="68"/>
    </row>
    <row r="783" s="215" customFormat="1" spans="1:13">
      <c r="A783" s="68"/>
      <c r="B783" s="68"/>
      <c r="C783" s="68"/>
      <c r="D783" s="68"/>
      <c r="E783" s="68"/>
      <c r="F783" s="68"/>
      <c r="G783" s="68" t="s">
        <v>20</v>
      </c>
      <c r="H783" s="68">
        <f t="shared" si="48"/>
        <v>344</v>
      </c>
      <c r="I783" s="68">
        <v>4</v>
      </c>
      <c r="J783" s="70"/>
      <c r="K783" s="70"/>
      <c r="L783" s="312"/>
      <c r="M783" s="68"/>
    </row>
    <row r="784" s="215" customFormat="1" spans="1:13">
      <c r="A784" s="68"/>
      <c r="B784" s="68"/>
      <c r="C784" s="68"/>
      <c r="D784" s="68"/>
      <c r="E784" s="68"/>
      <c r="F784" s="68"/>
      <c r="G784" s="68" t="s">
        <v>432</v>
      </c>
      <c r="H784" s="68">
        <f t="shared" si="48"/>
        <v>348</v>
      </c>
      <c r="I784" s="68">
        <v>16</v>
      </c>
      <c r="J784" s="70"/>
      <c r="K784" s="70"/>
      <c r="L784" s="312" t="str">
        <f t="shared" ref="L784:L787" si="53">IF(RIGHT(G784,5)="FRAME","扩展帧CAN消息","")</f>
        <v>扩展帧CAN消息</v>
      </c>
      <c r="M784" s="68"/>
    </row>
    <row r="785" s="215" customFormat="1" spans="1:13">
      <c r="A785" s="68"/>
      <c r="B785" s="68"/>
      <c r="C785" s="68"/>
      <c r="D785" s="68"/>
      <c r="E785" s="68"/>
      <c r="F785" s="68"/>
      <c r="G785" s="68" t="s">
        <v>433</v>
      </c>
      <c r="H785" s="68">
        <f t="shared" si="48"/>
        <v>364</v>
      </c>
      <c r="I785" s="68">
        <v>16</v>
      </c>
      <c r="J785" s="70"/>
      <c r="K785" s="70"/>
      <c r="L785" s="312" t="str">
        <f t="shared" si="53"/>
        <v>扩展帧CAN消息</v>
      </c>
      <c r="M785" s="68"/>
    </row>
    <row r="786" s="215" customFormat="1" spans="1:13">
      <c r="A786" s="68"/>
      <c r="B786" s="68"/>
      <c r="C786" s="68"/>
      <c r="D786" s="68"/>
      <c r="E786" s="68"/>
      <c r="F786" s="68"/>
      <c r="G786" s="68" t="s">
        <v>434</v>
      </c>
      <c r="H786" s="68">
        <f t="shared" si="48"/>
        <v>380</v>
      </c>
      <c r="I786" s="68">
        <v>16</v>
      </c>
      <c r="J786" s="70"/>
      <c r="K786" s="70"/>
      <c r="L786" s="312" t="str">
        <f t="shared" si="53"/>
        <v>扩展帧CAN消息</v>
      </c>
      <c r="M786" s="68"/>
    </row>
    <row r="787" s="215" customFormat="1" spans="1:13">
      <c r="A787" s="68"/>
      <c r="B787" s="68"/>
      <c r="C787" s="68"/>
      <c r="D787" s="68"/>
      <c r="E787" s="68"/>
      <c r="F787" s="68"/>
      <c r="G787" s="68" t="s">
        <v>435</v>
      </c>
      <c r="H787" s="68">
        <f t="shared" si="48"/>
        <v>396</v>
      </c>
      <c r="I787" s="68">
        <v>16</v>
      </c>
      <c r="J787" s="70"/>
      <c r="K787" s="70"/>
      <c r="L787" s="312" t="str">
        <f t="shared" si="53"/>
        <v>扩展帧CAN消息</v>
      </c>
      <c r="M787" s="68"/>
    </row>
    <row r="788" s="215" customFormat="1" spans="1:13">
      <c r="A788" s="68"/>
      <c r="B788" s="68"/>
      <c r="C788" s="68"/>
      <c r="D788" s="68"/>
      <c r="E788" s="68"/>
      <c r="F788" s="68"/>
      <c r="G788" s="68" t="s">
        <v>20</v>
      </c>
      <c r="H788" s="68">
        <f t="shared" si="48"/>
        <v>412</v>
      </c>
      <c r="I788" s="68">
        <v>4</v>
      </c>
      <c r="J788" s="70"/>
      <c r="K788" s="70"/>
      <c r="L788" s="312"/>
      <c r="M788" s="68"/>
    </row>
    <row r="789" s="215" customFormat="1" spans="1:13">
      <c r="A789" s="68"/>
      <c r="B789" s="68"/>
      <c r="C789" s="68"/>
      <c r="D789" s="68"/>
      <c r="E789" s="68"/>
      <c r="F789" s="68"/>
      <c r="G789" s="68" t="s">
        <v>436</v>
      </c>
      <c r="H789" s="68">
        <f t="shared" si="48"/>
        <v>416</v>
      </c>
      <c r="I789" s="68">
        <v>16</v>
      </c>
      <c r="J789" s="70"/>
      <c r="K789" s="70"/>
      <c r="L789" s="312" t="str">
        <f t="shared" ref="L789:L792" si="54">IF(RIGHT(G789,5)="FRAME","扩展帧CAN消息","")</f>
        <v>扩展帧CAN消息</v>
      </c>
      <c r="M789" s="68"/>
    </row>
    <row r="790" s="215" customFormat="1" spans="1:13">
      <c r="A790" s="68"/>
      <c r="B790" s="68"/>
      <c r="C790" s="68"/>
      <c r="D790" s="68"/>
      <c r="E790" s="68"/>
      <c r="F790" s="68"/>
      <c r="G790" s="68" t="s">
        <v>437</v>
      </c>
      <c r="H790" s="68">
        <f t="shared" si="48"/>
        <v>432</v>
      </c>
      <c r="I790" s="68">
        <v>16</v>
      </c>
      <c r="J790" s="70"/>
      <c r="K790" s="70"/>
      <c r="L790" s="312" t="str">
        <f t="shared" si="54"/>
        <v>扩展帧CAN消息</v>
      </c>
      <c r="M790" s="68"/>
    </row>
    <row r="791" s="215" customFormat="1" spans="1:13">
      <c r="A791" s="68"/>
      <c r="B791" s="68"/>
      <c r="C791" s="68"/>
      <c r="D791" s="68"/>
      <c r="E791" s="68"/>
      <c r="F791" s="68"/>
      <c r="G791" s="68" t="s">
        <v>438</v>
      </c>
      <c r="H791" s="68">
        <f t="shared" si="48"/>
        <v>448</v>
      </c>
      <c r="I791" s="68">
        <v>16</v>
      </c>
      <c r="J791" s="70"/>
      <c r="K791" s="70"/>
      <c r="L791" s="312" t="str">
        <f t="shared" si="54"/>
        <v>扩展帧CAN消息</v>
      </c>
      <c r="M791" s="68"/>
    </row>
    <row r="792" s="215" customFormat="1" spans="1:13">
      <c r="A792" s="68"/>
      <c r="B792" s="68"/>
      <c r="C792" s="68"/>
      <c r="D792" s="68"/>
      <c r="E792" s="68"/>
      <c r="F792" s="68"/>
      <c r="G792" s="68" t="s">
        <v>439</v>
      </c>
      <c r="H792" s="68">
        <f t="shared" si="48"/>
        <v>464</v>
      </c>
      <c r="I792" s="68">
        <v>16</v>
      </c>
      <c r="J792" s="70"/>
      <c r="K792" s="70"/>
      <c r="L792" s="312" t="str">
        <f t="shared" si="54"/>
        <v>扩展帧CAN消息</v>
      </c>
      <c r="M792" s="68"/>
    </row>
    <row r="793" s="215" customFormat="1" spans="1:13">
      <c r="A793" s="68"/>
      <c r="B793" s="68"/>
      <c r="C793" s="68"/>
      <c r="D793" s="68"/>
      <c r="E793" s="68"/>
      <c r="F793" s="68"/>
      <c r="G793" s="68" t="s">
        <v>20</v>
      </c>
      <c r="H793" s="68">
        <f t="shared" si="48"/>
        <v>480</v>
      </c>
      <c r="I793" s="68">
        <v>4</v>
      </c>
      <c r="J793" s="70"/>
      <c r="K793" s="70"/>
      <c r="L793" s="317"/>
      <c r="M793" s="68"/>
    </row>
    <row r="794" s="215" customFormat="1" spans="1:13">
      <c r="A794" s="68"/>
      <c r="B794" s="68"/>
      <c r="C794" s="68"/>
      <c r="D794" s="68"/>
      <c r="E794" s="68"/>
      <c r="F794" s="68"/>
      <c r="G794" s="68" t="s">
        <v>440</v>
      </c>
      <c r="H794" s="68">
        <f t="shared" si="48"/>
        <v>484</v>
      </c>
      <c r="I794" s="68">
        <v>16</v>
      </c>
      <c r="J794" s="70"/>
      <c r="K794" s="70"/>
      <c r="L794" s="312" t="str">
        <f t="shared" ref="L794:L797" si="55">IF(RIGHT(G794,5)="FRAME","扩展帧CAN消息","")</f>
        <v>扩展帧CAN消息</v>
      </c>
      <c r="M794" s="68"/>
    </row>
    <row r="795" s="215" customFormat="1" spans="1:13">
      <c r="A795" s="68"/>
      <c r="B795" s="68"/>
      <c r="C795" s="68"/>
      <c r="D795" s="68"/>
      <c r="E795" s="68"/>
      <c r="F795" s="68"/>
      <c r="G795" s="68" t="s">
        <v>441</v>
      </c>
      <c r="H795" s="68">
        <f t="shared" si="48"/>
        <v>500</v>
      </c>
      <c r="I795" s="68">
        <v>16</v>
      </c>
      <c r="J795" s="70"/>
      <c r="K795" s="70"/>
      <c r="L795" s="312" t="str">
        <f t="shared" si="55"/>
        <v>扩展帧CAN消息</v>
      </c>
      <c r="M795" s="68"/>
    </row>
    <row r="796" s="215" customFormat="1" spans="1:13">
      <c r="A796" s="68"/>
      <c r="B796" s="68"/>
      <c r="C796" s="68"/>
      <c r="D796" s="68"/>
      <c r="E796" s="68"/>
      <c r="F796" s="68"/>
      <c r="G796" s="68" t="s">
        <v>442</v>
      </c>
      <c r="H796" s="68">
        <f t="shared" si="48"/>
        <v>516</v>
      </c>
      <c r="I796" s="68">
        <v>16</v>
      </c>
      <c r="J796" s="70"/>
      <c r="K796" s="70"/>
      <c r="L796" s="312" t="str">
        <f t="shared" si="55"/>
        <v>扩展帧CAN消息</v>
      </c>
      <c r="M796" s="68"/>
    </row>
    <row r="797" s="215" customFormat="1" spans="1:13">
      <c r="A797" s="68"/>
      <c r="B797" s="68"/>
      <c r="C797" s="68"/>
      <c r="D797" s="68"/>
      <c r="E797" s="68"/>
      <c r="F797" s="68"/>
      <c r="G797" s="68" t="s">
        <v>443</v>
      </c>
      <c r="H797" s="68">
        <f t="shared" si="48"/>
        <v>532</v>
      </c>
      <c r="I797" s="68">
        <v>16</v>
      </c>
      <c r="J797" s="70"/>
      <c r="K797" s="70"/>
      <c r="L797" s="312" t="str">
        <f t="shared" si="55"/>
        <v>扩展帧CAN消息</v>
      </c>
      <c r="M797" s="68"/>
    </row>
    <row r="798" s="215" customFormat="1" spans="1:13">
      <c r="A798" s="68"/>
      <c r="B798" s="68"/>
      <c r="C798" s="68"/>
      <c r="D798" s="68"/>
      <c r="E798" s="68"/>
      <c r="F798" s="68"/>
      <c r="G798" s="68" t="s">
        <v>20</v>
      </c>
      <c r="H798" s="68">
        <f t="shared" si="48"/>
        <v>548</v>
      </c>
      <c r="I798" s="68">
        <v>4</v>
      </c>
      <c r="J798" s="70"/>
      <c r="K798" s="70"/>
      <c r="L798" s="312"/>
      <c r="M798" s="68"/>
    </row>
    <row r="799" s="215" customFormat="1" spans="1:13">
      <c r="A799" s="68"/>
      <c r="B799" s="68"/>
      <c r="C799" s="68"/>
      <c r="D799" s="68"/>
      <c r="E799" s="68"/>
      <c r="F799" s="68"/>
      <c r="G799" s="68" t="s">
        <v>444</v>
      </c>
      <c r="H799" s="68">
        <f t="shared" si="48"/>
        <v>552</v>
      </c>
      <c r="I799" s="68">
        <v>16</v>
      </c>
      <c r="J799" s="70"/>
      <c r="K799" s="70"/>
      <c r="L799" s="312" t="str">
        <f t="shared" ref="L799:L802" si="56">IF(RIGHT(G799,5)="FRAME","扩展帧CAN消息","")</f>
        <v>扩展帧CAN消息</v>
      </c>
      <c r="M799" s="68"/>
    </row>
    <row r="800" s="215" customFormat="1" spans="1:13">
      <c r="A800" s="68"/>
      <c r="B800" s="68"/>
      <c r="C800" s="68"/>
      <c r="D800" s="68"/>
      <c r="E800" s="68"/>
      <c r="F800" s="68"/>
      <c r="G800" s="68" t="s">
        <v>445</v>
      </c>
      <c r="H800" s="68">
        <f t="shared" si="48"/>
        <v>568</v>
      </c>
      <c r="I800" s="68">
        <v>16</v>
      </c>
      <c r="J800" s="70"/>
      <c r="K800" s="70"/>
      <c r="L800" s="312" t="str">
        <f t="shared" si="56"/>
        <v>扩展帧CAN消息</v>
      </c>
      <c r="M800" s="68"/>
    </row>
    <row r="801" s="215" customFormat="1" spans="1:13">
      <c r="A801" s="68"/>
      <c r="B801" s="68"/>
      <c r="C801" s="68"/>
      <c r="D801" s="68"/>
      <c r="E801" s="68"/>
      <c r="F801" s="68"/>
      <c r="G801" s="68" t="s">
        <v>446</v>
      </c>
      <c r="H801" s="68">
        <f t="shared" si="48"/>
        <v>584</v>
      </c>
      <c r="I801" s="68">
        <v>16</v>
      </c>
      <c r="J801" s="70"/>
      <c r="K801" s="70"/>
      <c r="L801" s="312" t="str">
        <f t="shared" si="56"/>
        <v>扩展帧CAN消息</v>
      </c>
      <c r="M801" s="68"/>
    </row>
    <row r="802" s="215" customFormat="1" spans="1:13">
      <c r="A802" s="68"/>
      <c r="B802" s="68"/>
      <c r="C802" s="68"/>
      <c r="D802" s="68"/>
      <c r="E802" s="68"/>
      <c r="F802" s="68"/>
      <c r="G802" s="68" t="s">
        <v>447</v>
      </c>
      <c r="H802" s="68">
        <f t="shared" si="48"/>
        <v>600</v>
      </c>
      <c r="I802" s="68">
        <v>16</v>
      </c>
      <c r="J802" s="70"/>
      <c r="K802" s="70"/>
      <c r="L802" s="312" t="str">
        <f t="shared" si="56"/>
        <v>扩展帧CAN消息</v>
      </c>
      <c r="M802" s="68"/>
    </row>
    <row r="803" s="215" customFormat="1" spans="1:13">
      <c r="A803" s="68"/>
      <c r="B803" s="68"/>
      <c r="C803" s="68"/>
      <c r="D803" s="68"/>
      <c r="E803" s="68"/>
      <c r="F803" s="68"/>
      <c r="G803" s="68" t="s">
        <v>20</v>
      </c>
      <c r="H803" s="68">
        <f t="shared" si="48"/>
        <v>616</v>
      </c>
      <c r="I803" s="68">
        <v>4</v>
      </c>
      <c r="J803" s="70"/>
      <c r="K803" s="70"/>
      <c r="L803" s="317"/>
      <c r="M803" s="68"/>
    </row>
    <row r="804" s="215" customFormat="1" spans="1:13">
      <c r="A804" s="68"/>
      <c r="B804" s="68"/>
      <c r="C804" s="68"/>
      <c r="D804" s="68"/>
      <c r="E804" s="68"/>
      <c r="F804" s="68"/>
      <c r="G804" s="68" t="s">
        <v>448</v>
      </c>
      <c r="H804" s="68">
        <f t="shared" si="48"/>
        <v>620</v>
      </c>
      <c r="I804" s="68">
        <v>16</v>
      </c>
      <c r="J804" s="70"/>
      <c r="K804" s="70"/>
      <c r="L804" s="312" t="str">
        <f t="shared" ref="L804:L807" si="57">IF(RIGHT(G804,5)="FRAME","扩展帧CAN消息","")</f>
        <v>扩展帧CAN消息</v>
      </c>
      <c r="M804" s="68"/>
    </row>
    <row r="805" s="215" customFormat="1" spans="1:13">
      <c r="A805" s="68"/>
      <c r="B805" s="68"/>
      <c r="C805" s="68"/>
      <c r="D805" s="68"/>
      <c r="E805" s="68"/>
      <c r="F805" s="68"/>
      <c r="G805" s="68" t="s">
        <v>449</v>
      </c>
      <c r="H805" s="68">
        <f t="shared" si="48"/>
        <v>636</v>
      </c>
      <c r="I805" s="68">
        <v>16</v>
      </c>
      <c r="J805" s="70"/>
      <c r="K805" s="70"/>
      <c r="L805" s="312" t="str">
        <f t="shared" si="57"/>
        <v>扩展帧CAN消息</v>
      </c>
      <c r="M805" s="68"/>
    </row>
    <row r="806" s="215" customFormat="1" spans="1:13">
      <c r="A806" s="68"/>
      <c r="B806" s="68"/>
      <c r="C806" s="68"/>
      <c r="D806" s="68"/>
      <c r="E806" s="68"/>
      <c r="F806" s="68"/>
      <c r="G806" s="68" t="s">
        <v>450</v>
      </c>
      <c r="H806" s="68">
        <f t="shared" si="48"/>
        <v>652</v>
      </c>
      <c r="I806" s="68">
        <v>16</v>
      </c>
      <c r="J806" s="70"/>
      <c r="K806" s="70"/>
      <c r="L806" s="312" t="str">
        <f t="shared" si="57"/>
        <v>扩展帧CAN消息</v>
      </c>
      <c r="M806" s="68"/>
    </row>
    <row r="807" s="215" customFormat="1" spans="1:13">
      <c r="A807" s="68" t="s">
        <v>310</v>
      </c>
      <c r="B807" s="68" t="s">
        <v>451</v>
      </c>
      <c r="C807" s="68" t="s">
        <v>213</v>
      </c>
      <c r="D807" s="68" t="s">
        <v>317</v>
      </c>
      <c r="E807" s="68">
        <v>7063</v>
      </c>
      <c r="F807" s="68" t="s">
        <v>86</v>
      </c>
      <c r="G807" s="68" t="s">
        <v>18</v>
      </c>
      <c r="H807" s="68">
        <v>0</v>
      </c>
      <c r="I807" s="68">
        <v>4</v>
      </c>
      <c r="J807" s="68" t="s">
        <v>77</v>
      </c>
      <c r="K807" s="68">
        <v>1000</v>
      </c>
      <c r="L807" s="312"/>
      <c r="M807" s="68">
        <v>1102201</v>
      </c>
    </row>
    <row r="808" s="215" customFormat="1" spans="1:13">
      <c r="A808" s="68"/>
      <c r="B808" s="68"/>
      <c r="C808" s="68"/>
      <c r="D808" s="68"/>
      <c r="E808" s="68"/>
      <c r="F808" s="68"/>
      <c r="G808" s="68" t="s">
        <v>20</v>
      </c>
      <c r="H808" s="68">
        <v>4</v>
      </c>
      <c r="I808" s="68">
        <v>4</v>
      </c>
      <c r="J808" s="68"/>
      <c r="K808" s="68"/>
      <c r="L808" s="312"/>
      <c r="M808" s="68"/>
    </row>
    <row r="809" s="215" customFormat="1" spans="1:13">
      <c r="A809" s="68"/>
      <c r="B809" s="68"/>
      <c r="C809" s="68"/>
      <c r="D809" s="68"/>
      <c r="E809" s="68"/>
      <c r="F809" s="68"/>
      <c r="G809" s="68" t="s">
        <v>452</v>
      </c>
      <c r="H809" s="68">
        <v>8</v>
      </c>
      <c r="I809" s="68">
        <v>16</v>
      </c>
      <c r="J809" s="68"/>
      <c r="K809" s="68"/>
      <c r="L809" s="312" t="str">
        <f t="shared" ref="L809:L812" si="58">IF(RIGHT(G809,5)="FRAME","扩展帧CAN消息","")</f>
        <v>扩展帧CAN消息</v>
      </c>
      <c r="M809" s="68"/>
    </row>
    <row r="810" s="215" customFormat="1" spans="1:13">
      <c r="A810" s="68"/>
      <c r="B810" s="68"/>
      <c r="C810" s="68"/>
      <c r="D810" s="68"/>
      <c r="E810" s="68"/>
      <c r="F810" s="68"/>
      <c r="G810" s="68" t="s">
        <v>453</v>
      </c>
      <c r="H810" s="68">
        <v>24</v>
      </c>
      <c r="I810" s="68">
        <v>16</v>
      </c>
      <c r="J810" s="68"/>
      <c r="K810" s="68"/>
      <c r="L810" s="312" t="str">
        <f t="shared" si="58"/>
        <v>扩展帧CAN消息</v>
      </c>
      <c r="M810" s="68"/>
    </row>
    <row r="811" s="215" customFormat="1" spans="1:13">
      <c r="A811" s="68"/>
      <c r="B811" s="68"/>
      <c r="C811" s="68"/>
      <c r="D811" s="68"/>
      <c r="E811" s="68"/>
      <c r="F811" s="68"/>
      <c r="G811" s="68" t="s">
        <v>454</v>
      </c>
      <c r="H811" s="68">
        <v>40</v>
      </c>
      <c r="I811" s="68">
        <v>16</v>
      </c>
      <c r="J811" s="68"/>
      <c r="K811" s="68"/>
      <c r="L811" s="312" t="str">
        <f t="shared" si="58"/>
        <v>扩展帧CAN消息</v>
      </c>
      <c r="M811" s="68"/>
    </row>
    <row r="812" s="215" customFormat="1" spans="1:13">
      <c r="A812" s="68"/>
      <c r="B812" s="68"/>
      <c r="C812" s="68"/>
      <c r="D812" s="68"/>
      <c r="E812" s="68"/>
      <c r="F812" s="68"/>
      <c r="G812" s="68" t="s">
        <v>455</v>
      </c>
      <c r="H812" s="68">
        <v>56</v>
      </c>
      <c r="I812" s="68">
        <v>16</v>
      </c>
      <c r="J812" s="68"/>
      <c r="K812" s="68"/>
      <c r="L812" s="312" t="str">
        <f t="shared" si="58"/>
        <v>扩展帧CAN消息</v>
      </c>
      <c r="M812" s="68"/>
    </row>
    <row r="813" s="215" customFormat="1" spans="1:13">
      <c r="A813" s="68"/>
      <c r="B813" s="68"/>
      <c r="C813" s="68"/>
      <c r="D813" s="68"/>
      <c r="E813" s="68"/>
      <c r="F813" s="68"/>
      <c r="G813" s="68" t="s">
        <v>20</v>
      </c>
      <c r="H813" s="68">
        <v>72</v>
      </c>
      <c r="I813" s="68">
        <v>4</v>
      </c>
      <c r="J813" s="68"/>
      <c r="K813" s="68"/>
      <c r="L813" s="312"/>
      <c r="M813" s="68"/>
    </row>
    <row r="814" s="215" customFormat="1" spans="1:13">
      <c r="A814" s="68"/>
      <c r="B814" s="68"/>
      <c r="C814" s="68"/>
      <c r="D814" s="68"/>
      <c r="E814" s="68"/>
      <c r="F814" s="68"/>
      <c r="G814" s="68" t="s">
        <v>456</v>
      </c>
      <c r="H814" s="68">
        <v>76</v>
      </c>
      <c r="I814" s="68">
        <v>16</v>
      </c>
      <c r="J814" s="68"/>
      <c r="K814" s="68"/>
      <c r="L814" s="312" t="str">
        <f t="shared" ref="L814:L817" si="59">IF(RIGHT(G814,5)="FRAME","扩展帧CAN消息","")</f>
        <v>扩展帧CAN消息</v>
      </c>
      <c r="M814" s="68"/>
    </row>
    <row r="815" s="215" customFormat="1" spans="1:13">
      <c r="A815" s="68"/>
      <c r="B815" s="68"/>
      <c r="C815" s="68"/>
      <c r="D815" s="68"/>
      <c r="E815" s="68"/>
      <c r="F815" s="68"/>
      <c r="G815" s="68" t="s">
        <v>457</v>
      </c>
      <c r="H815" s="68">
        <v>92</v>
      </c>
      <c r="I815" s="68">
        <v>16</v>
      </c>
      <c r="J815" s="68"/>
      <c r="K815" s="68"/>
      <c r="L815" s="312" t="str">
        <f t="shared" si="59"/>
        <v>扩展帧CAN消息</v>
      </c>
      <c r="M815" s="68"/>
    </row>
    <row r="816" s="215" customFormat="1" spans="1:13">
      <c r="A816" s="68"/>
      <c r="B816" s="68"/>
      <c r="C816" s="68"/>
      <c r="D816" s="68"/>
      <c r="E816" s="68"/>
      <c r="F816" s="68"/>
      <c r="G816" s="68" t="s">
        <v>458</v>
      </c>
      <c r="H816" s="68">
        <v>108</v>
      </c>
      <c r="I816" s="68">
        <v>16</v>
      </c>
      <c r="J816" s="68"/>
      <c r="K816" s="68"/>
      <c r="L816" s="312" t="str">
        <f t="shared" si="59"/>
        <v>扩展帧CAN消息</v>
      </c>
      <c r="M816" s="68"/>
    </row>
    <row r="817" s="215" customFormat="1" spans="1:13">
      <c r="A817" s="68"/>
      <c r="B817" s="68"/>
      <c r="C817" s="68"/>
      <c r="D817" s="68"/>
      <c r="E817" s="68"/>
      <c r="F817" s="68"/>
      <c r="G817" s="68" t="s">
        <v>459</v>
      </c>
      <c r="H817" s="68">
        <v>124</v>
      </c>
      <c r="I817" s="68">
        <v>16</v>
      </c>
      <c r="J817" s="68"/>
      <c r="K817" s="68"/>
      <c r="L817" s="312" t="str">
        <f t="shared" si="59"/>
        <v>扩展帧CAN消息</v>
      </c>
      <c r="M817" s="68"/>
    </row>
    <row r="818" s="215" customFormat="1" spans="1:13">
      <c r="A818" s="68"/>
      <c r="B818" s="68"/>
      <c r="C818" s="68"/>
      <c r="D818" s="68"/>
      <c r="E818" s="68"/>
      <c r="F818" s="68"/>
      <c r="G818" s="68" t="s">
        <v>20</v>
      </c>
      <c r="H818" s="68">
        <v>140</v>
      </c>
      <c r="I818" s="68">
        <v>4</v>
      </c>
      <c r="J818" s="68"/>
      <c r="K818" s="68"/>
      <c r="L818" s="312"/>
      <c r="M818" s="68"/>
    </row>
    <row r="819" s="215" customFormat="1" spans="1:13">
      <c r="A819" s="68"/>
      <c r="B819" s="68"/>
      <c r="C819" s="68"/>
      <c r="D819" s="68"/>
      <c r="E819" s="68"/>
      <c r="F819" s="68"/>
      <c r="G819" s="68" t="s">
        <v>460</v>
      </c>
      <c r="H819" s="68">
        <v>144</v>
      </c>
      <c r="I819" s="68">
        <v>16</v>
      </c>
      <c r="J819" s="68"/>
      <c r="K819" s="68"/>
      <c r="L819" s="312" t="str">
        <f t="shared" ref="L819:L822" si="60">IF(RIGHT(G819,5)="FRAME","扩展帧CAN消息","")</f>
        <v>扩展帧CAN消息</v>
      </c>
      <c r="M819" s="68"/>
    </row>
    <row r="820" s="215" customFormat="1" spans="1:13">
      <c r="A820" s="68"/>
      <c r="B820" s="68"/>
      <c r="C820" s="68"/>
      <c r="D820" s="68"/>
      <c r="E820" s="68"/>
      <c r="F820" s="68"/>
      <c r="G820" s="68" t="s">
        <v>461</v>
      </c>
      <c r="H820" s="68">
        <v>160</v>
      </c>
      <c r="I820" s="68">
        <v>16</v>
      </c>
      <c r="J820" s="68"/>
      <c r="K820" s="68"/>
      <c r="L820" s="312" t="str">
        <f t="shared" si="60"/>
        <v>扩展帧CAN消息</v>
      </c>
      <c r="M820" s="68"/>
    </row>
    <row r="821" s="215" customFormat="1" spans="1:13">
      <c r="A821" s="68"/>
      <c r="B821" s="68"/>
      <c r="C821" s="68"/>
      <c r="D821" s="68"/>
      <c r="E821" s="68"/>
      <c r="F821" s="68"/>
      <c r="G821" s="68" t="s">
        <v>462</v>
      </c>
      <c r="H821" s="68">
        <v>176</v>
      </c>
      <c r="I821" s="68">
        <v>16</v>
      </c>
      <c r="J821" s="68"/>
      <c r="K821" s="68"/>
      <c r="L821" s="312" t="str">
        <f t="shared" si="60"/>
        <v>扩展帧CAN消息</v>
      </c>
      <c r="M821" s="68"/>
    </row>
    <row r="822" s="215" customFormat="1" spans="1:13">
      <c r="A822" s="68"/>
      <c r="B822" s="68"/>
      <c r="C822" s="68"/>
      <c r="D822" s="68"/>
      <c r="E822" s="68"/>
      <c r="F822" s="68"/>
      <c r="G822" s="68" t="s">
        <v>463</v>
      </c>
      <c r="H822" s="68">
        <v>192</v>
      </c>
      <c r="I822" s="68">
        <v>16</v>
      </c>
      <c r="J822" s="68"/>
      <c r="K822" s="68"/>
      <c r="L822" s="312" t="str">
        <f t="shared" si="60"/>
        <v>扩展帧CAN消息</v>
      </c>
      <c r="M822" s="68"/>
    </row>
    <row r="823" s="215" customFormat="1" spans="1:13">
      <c r="A823" s="68"/>
      <c r="B823" s="68"/>
      <c r="C823" s="68"/>
      <c r="D823" s="68"/>
      <c r="E823" s="68"/>
      <c r="F823" s="68"/>
      <c r="G823" s="68" t="s">
        <v>20</v>
      </c>
      <c r="H823" s="68">
        <v>208</v>
      </c>
      <c r="I823" s="68">
        <v>4</v>
      </c>
      <c r="J823" s="68"/>
      <c r="K823" s="68"/>
      <c r="L823" s="312"/>
      <c r="M823" s="68"/>
    </row>
    <row r="824" s="215" customFormat="1" spans="1:13">
      <c r="A824" s="68"/>
      <c r="B824" s="68"/>
      <c r="C824" s="68"/>
      <c r="D824" s="68"/>
      <c r="E824" s="68"/>
      <c r="F824" s="68"/>
      <c r="G824" s="68" t="s">
        <v>464</v>
      </c>
      <c r="H824" s="68">
        <v>212</v>
      </c>
      <c r="I824" s="68">
        <v>16</v>
      </c>
      <c r="J824" s="68"/>
      <c r="K824" s="68"/>
      <c r="L824" s="312" t="str">
        <f t="shared" ref="L824:L827" si="61">IF(RIGHT(G824,5)="FRAME","扩展帧CAN消息","")</f>
        <v>扩展帧CAN消息</v>
      </c>
      <c r="M824" s="68"/>
    </row>
    <row r="825" s="215" customFormat="1" spans="1:13">
      <c r="A825" s="68"/>
      <c r="B825" s="68"/>
      <c r="C825" s="68"/>
      <c r="D825" s="68"/>
      <c r="E825" s="68"/>
      <c r="F825" s="68"/>
      <c r="G825" s="68" t="s">
        <v>465</v>
      </c>
      <c r="H825" s="68">
        <v>228</v>
      </c>
      <c r="I825" s="68">
        <v>16</v>
      </c>
      <c r="J825" s="68"/>
      <c r="K825" s="68"/>
      <c r="L825" s="312" t="str">
        <f t="shared" si="61"/>
        <v>扩展帧CAN消息</v>
      </c>
      <c r="M825" s="68"/>
    </row>
    <row r="826" s="215" customFormat="1" spans="1:13">
      <c r="A826" s="68"/>
      <c r="B826" s="68"/>
      <c r="C826" s="68"/>
      <c r="D826" s="68"/>
      <c r="E826" s="68"/>
      <c r="F826" s="68"/>
      <c r="G826" s="68" t="s">
        <v>466</v>
      </c>
      <c r="H826" s="68">
        <v>244</v>
      </c>
      <c r="I826" s="68">
        <v>16</v>
      </c>
      <c r="J826" s="68"/>
      <c r="K826" s="68"/>
      <c r="L826" s="312" t="str">
        <f t="shared" si="61"/>
        <v>扩展帧CAN消息</v>
      </c>
      <c r="M826" s="68"/>
    </row>
    <row r="827" s="215" customFormat="1" spans="1:13">
      <c r="A827" s="68"/>
      <c r="B827" s="68"/>
      <c r="C827" s="68"/>
      <c r="D827" s="68"/>
      <c r="E827" s="68"/>
      <c r="F827" s="68"/>
      <c r="G827" s="68" t="s">
        <v>467</v>
      </c>
      <c r="H827" s="68">
        <v>260</v>
      </c>
      <c r="I827" s="68">
        <v>16</v>
      </c>
      <c r="J827" s="68"/>
      <c r="K827" s="68"/>
      <c r="L827" s="312" t="str">
        <f t="shared" si="61"/>
        <v>扩展帧CAN消息</v>
      </c>
      <c r="M827" s="68"/>
    </row>
    <row r="828" s="215" customFormat="1" spans="1:13">
      <c r="A828" s="68"/>
      <c r="B828" s="68"/>
      <c r="C828" s="68"/>
      <c r="D828" s="68"/>
      <c r="E828" s="68"/>
      <c r="F828" s="68"/>
      <c r="G828" s="68" t="s">
        <v>20</v>
      </c>
      <c r="H828" s="68">
        <v>276</v>
      </c>
      <c r="I828" s="68">
        <v>4</v>
      </c>
      <c r="J828" s="68"/>
      <c r="K828" s="68"/>
      <c r="L828" s="312"/>
      <c r="M828" s="68"/>
    </row>
    <row r="829" s="215" customFormat="1" spans="1:13">
      <c r="A829" s="68"/>
      <c r="B829" s="68"/>
      <c r="C829" s="68"/>
      <c r="D829" s="68"/>
      <c r="E829" s="68"/>
      <c r="F829" s="68"/>
      <c r="G829" s="68" t="s">
        <v>468</v>
      </c>
      <c r="H829" s="68">
        <v>280</v>
      </c>
      <c r="I829" s="68">
        <v>16</v>
      </c>
      <c r="J829" s="68"/>
      <c r="K829" s="68"/>
      <c r="L829" s="312" t="str">
        <f t="shared" ref="L829:L832" si="62">IF(RIGHT(G829,5)="FRAME","扩展帧CAN消息","")</f>
        <v>扩展帧CAN消息</v>
      </c>
      <c r="M829" s="68"/>
    </row>
    <row r="830" s="215" customFormat="1" spans="1:13">
      <c r="A830" s="68"/>
      <c r="B830" s="68"/>
      <c r="C830" s="68"/>
      <c r="D830" s="68"/>
      <c r="E830" s="68"/>
      <c r="F830" s="68"/>
      <c r="G830" s="68" t="s">
        <v>469</v>
      </c>
      <c r="H830" s="68">
        <v>296</v>
      </c>
      <c r="I830" s="68">
        <v>16</v>
      </c>
      <c r="J830" s="68"/>
      <c r="K830" s="68"/>
      <c r="L830" s="312" t="str">
        <f t="shared" si="62"/>
        <v>扩展帧CAN消息</v>
      </c>
      <c r="M830" s="68"/>
    </row>
    <row r="831" s="215" customFormat="1" spans="1:13">
      <c r="A831" s="68"/>
      <c r="B831" s="68"/>
      <c r="C831" s="68"/>
      <c r="D831" s="68"/>
      <c r="E831" s="68"/>
      <c r="F831" s="68"/>
      <c r="G831" s="68" t="s">
        <v>470</v>
      </c>
      <c r="H831" s="68">
        <v>312</v>
      </c>
      <c r="I831" s="68">
        <v>16</v>
      </c>
      <c r="J831" s="68"/>
      <c r="K831" s="68"/>
      <c r="L831" s="312" t="str">
        <f t="shared" si="62"/>
        <v>扩展帧CAN消息</v>
      </c>
      <c r="M831" s="68"/>
    </row>
    <row r="832" s="215" customFormat="1" spans="1:13">
      <c r="A832" s="68"/>
      <c r="B832" s="68"/>
      <c r="C832" s="68"/>
      <c r="D832" s="68"/>
      <c r="E832" s="68"/>
      <c r="F832" s="68"/>
      <c r="G832" s="68" t="s">
        <v>471</v>
      </c>
      <c r="H832" s="68">
        <v>328</v>
      </c>
      <c r="I832" s="68">
        <v>16</v>
      </c>
      <c r="J832" s="68"/>
      <c r="K832" s="68"/>
      <c r="L832" s="312" t="str">
        <f t="shared" si="62"/>
        <v>扩展帧CAN消息</v>
      </c>
      <c r="M832" s="68"/>
    </row>
    <row r="833" s="215" customFormat="1" spans="1:13">
      <c r="A833" s="68"/>
      <c r="B833" s="68"/>
      <c r="C833" s="68"/>
      <c r="D833" s="68"/>
      <c r="E833" s="68"/>
      <c r="F833" s="68"/>
      <c r="G833" s="68" t="s">
        <v>20</v>
      </c>
      <c r="H833" s="68">
        <v>344</v>
      </c>
      <c r="I833" s="68">
        <v>4</v>
      </c>
      <c r="J833" s="68"/>
      <c r="K833" s="68"/>
      <c r="L833" s="312"/>
      <c r="M833" s="68"/>
    </row>
    <row r="834" s="215" customFormat="1" spans="1:13">
      <c r="A834" s="68"/>
      <c r="B834" s="68"/>
      <c r="C834" s="68"/>
      <c r="D834" s="68"/>
      <c r="E834" s="68"/>
      <c r="F834" s="68"/>
      <c r="G834" s="68" t="s">
        <v>472</v>
      </c>
      <c r="H834" s="68">
        <v>348</v>
      </c>
      <c r="I834" s="68">
        <v>16</v>
      </c>
      <c r="J834" s="68"/>
      <c r="K834" s="68"/>
      <c r="L834" s="312" t="str">
        <f t="shared" ref="L834:L837" si="63">IF(RIGHT(G834,5)="FRAME","扩展帧CAN消息","")</f>
        <v>扩展帧CAN消息</v>
      </c>
      <c r="M834" s="68"/>
    </row>
    <row r="835" s="215" customFormat="1" spans="1:13">
      <c r="A835" s="68"/>
      <c r="B835" s="68"/>
      <c r="C835" s="68"/>
      <c r="D835" s="68"/>
      <c r="E835" s="68"/>
      <c r="F835" s="68"/>
      <c r="G835" s="68" t="s">
        <v>473</v>
      </c>
      <c r="H835" s="68">
        <v>364</v>
      </c>
      <c r="I835" s="68">
        <v>16</v>
      </c>
      <c r="J835" s="68"/>
      <c r="K835" s="68"/>
      <c r="L835" s="312" t="str">
        <f t="shared" si="63"/>
        <v>扩展帧CAN消息</v>
      </c>
      <c r="M835" s="68"/>
    </row>
    <row r="836" s="215" customFormat="1" spans="1:13">
      <c r="A836" s="68"/>
      <c r="B836" s="68"/>
      <c r="C836" s="68"/>
      <c r="D836" s="68"/>
      <c r="E836" s="68"/>
      <c r="F836" s="68"/>
      <c r="G836" s="68" t="s">
        <v>474</v>
      </c>
      <c r="H836" s="68">
        <v>380</v>
      </c>
      <c r="I836" s="68">
        <v>16</v>
      </c>
      <c r="J836" s="68"/>
      <c r="K836" s="68"/>
      <c r="L836" s="312" t="str">
        <f t="shared" si="63"/>
        <v>扩展帧CAN消息</v>
      </c>
      <c r="M836" s="68"/>
    </row>
    <row r="837" s="215" customFormat="1" spans="1:13">
      <c r="A837" s="68"/>
      <c r="B837" s="68"/>
      <c r="C837" s="68"/>
      <c r="D837" s="68"/>
      <c r="E837" s="68"/>
      <c r="F837" s="68"/>
      <c r="G837" s="68" t="s">
        <v>475</v>
      </c>
      <c r="H837" s="68">
        <v>396</v>
      </c>
      <c r="I837" s="68">
        <v>16</v>
      </c>
      <c r="J837" s="68"/>
      <c r="K837" s="68"/>
      <c r="L837" s="312" t="str">
        <f t="shared" si="63"/>
        <v>扩展帧CAN消息</v>
      </c>
      <c r="M837" s="68"/>
    </row>
    <row r="838" s="215" customFormat="1" spans="1:13">
      <c r="A838" s="68"/>
      <c r="B838" s="68"/>
      <c r="C838" s="68"/>
      <c r="D838" s="68"/>
      <c r="E838" s="68"/>
      <c r="F838" s="68"/>
      <c r="G838" s="68" t="s">
        <v>20</v>
      </c>
      <c r="H838" s="68">
        <v>412</v>
      </c>
      <c r="I838" s="68">
        <v>4</v>
      </c>
      <c r="J838" s="68"/>
      <c r="K838" s="68"/>
      <c r="L838" s="312"/>
      <c r="M838" s="68"/>
    </row>
    <row r="839" s="215" customFormat="1" spans="1:13">
      <c r="A839" s="68"/>
      <c r="B839" s="68"/>
      <c r="C839" s="68"/>
      <c r="D839" s="68"/>
      <c r="E839" s="68"/>
      <c r="F839" s="68"/>
      <c r="G839" s="68" t="s">
        <v>476</v>
      </c>
      <c r="H839" s="68">
        <v>416</v>
      </c>
      <c r="I839" s="68">
        <v>16</v>
      </c>
      <c r="J839" s="68"/>
      <c r="K839" s="68"/>
      <c r="L839" s="312" t="str">
        <f t="shared" ref="L839:L842" si="64">IF(RIGHT(G839,5)="FRAME","扩展帧CAN消息","")</f>
        <v>扩展帧CAN消息</v>
      </c>
      <c r="M839" s="68"/>
    </row>
    <row r="840" s="215" customFormat="1" spans="1:13">
      <c r="A840" s="68"/>
      <c r="B840" s="68"/>
      <c r="C840" s="68"/>
      <c r="D840" s="68"/>
      <c r="E840" s="68"/>
      <c r="F840" s="68"/>
      <c r="G840" s="68" t="s">
        <v>477</v>
      </c>
      <c r="H840" s="68">
        <v>432</v>
      </c>
      <c r="I840" s="68">
        <v>16</v>
      </c>
      <c r="J840" s="68"/>
      <c r="K840" s="68"/>
      <c r="L840" s="312" t="str">
        <f t="shared" si="64"/>
        <v>扩展帧CAN消息</v>
      </c>
      <c r="M840" s="68"/>
    </row>
    <row r="841" s="215" customFormat="1" spans="1:13">
      <c r="A841" s="68"/>
      <c r="B841" s="68"/>
      <c r="C841" s="68"/>
      <c r="D841" s="68"/>
      <c r="E841" s="68"/>
      <c r="F841" s="68"/>
      <c r="G841" s="68" t="s">
        <v>478</v>
      </c>
      <c r="H841" s="68">
        <v>448</v>
      </c>
      <c r="I841" s="68">
        <v>16</v>
      </c>
      <c r="J841" s="68"/>
      <c r="K841" s="68"/>
      <c r="L841" s="312" t="str">
        <f t="shared" si="64"/>
        <v>扩展帧CAN消息</v>
      </c>
      <c r="M841" s="68"/>
    </row>
    <row r="842" s="215" customFormat="1" spans="1:13">
      <c r="A842" s="68"/>
      <c r="B842" s="68"/>
      <c r="C842" s="68"/>
      <c r="D842" s="68"/>
      <c r="E842" s="68"/>
      <c r="F842" s="68"/>
      <c r="G842" s="68" t="s">
        <v>479</v>
      </c>
      <c r="H842" s="68">
        <v>464</v>
      </c>
      <c r="I842" s="68">
        <v>16</v>
      </c>
      <c r="J842" s="68"/>
      <c r="K842" s="68"/>
      <c r="L842" s="312" t="str">
        <f t="shared" si="64"/>
        <v>扩展帧CAN消息</v>
      </c>
      <c r="M842" s="68"/>
    </row>
    <row r="843" s="215" customFormat="1" spans="1:13">
      <c r="A843" s="68"/>
      <c r="B843" s="68"/>
      <c r="C843" s="68"/>
      <c r="D843" s="68"/>
      <c r="E843" s="68"/>
      <c r="F843" s="68"/>
      <c r="G843" s="68" t="s">
        <v>20</v>
      </c>
      <c r="H843" s="68">
        <v>480</v>
      </c>
      <c r="I843" s="68">
        <v>4</v>
      </c>
      <c r="J843" s="68"/>
      <c r="K843" s="68"/>
      <c r="L843" s="312"/>
      <c r="M843" s="68"/>
    </row>
    <row r="844" s="215" customFormat="1" spans="1:13">
      <c r="A844" s="68"/>
      <c r="B844" s="68"/>
      <c r="C844" s="68"/>
      <c r="D844" s="68"/>
      <c r="E844" s="68"/>
      <c r="F844" s="68"/>
      <c r="G844" s="68" t="s">
        <v>480</v>
      </c>
      <c r="H844" s="68">
        <v>484</v>
      </c>
      <c r="I844" s="68">
        <v>16</v>
      </c>
      <c r="J844" s="68"/>
      <c r="K844" s="68"/>
      <c r="L844" s="312" t="str">
        <f t="shared" ref="L844:L847" si="65">IF(RIGHT(G844,5)="FRAME","扩展帧CAN消息","")</f>
        <v>扩展帧CAN消息</v>
      </c>
      <c r="M844" s="68"/>
    </row>
    <row r="845" s="215" customFormat="1" spans="1:13">
      <c r="A845" s="68"/>
      <c r="B845" s="68"/>
      <c r="C845" s="68"/>
      <c r="D845" s="68"/>
      <c r="E845" s="68"/>
      <c r="F845" s="68"/>
      <c r="G845" s="68" t="s">
        <v>481</v>
      </c>
      <c r="H845" s="68">
        <v>500</v>
      </c>
      <c r="I845" s="68">
        <v>16</v>
      </c>
      <c r="J845" s="68"/>
      <c r="K845" s="68"/>
      <c r="L845" s="312" t="str">
        <f t="shared" si="65"/>
        <v>扩展帧CAN消息</v>
      </c>
      <c r="M845" s="68"/>
    </row>
    <row r="846" s="215" customFormat="1" spans="1:13">
      <c r="A846" s="68"/>
      <c r="B846" s="68"/>
      <c r="C846" s="68"/>
      <c r="D846" s="68"/>
      <c r="E846" s="68"/>
      <c r="F846" s="68"/>
      <c r="G846" s="68" t="s">
        <v>482</v>
      </c>
      <c r="H846" s="68">
        <v>516</v>
      </c>
      <c r="I846" s="68">
        <v>16</v>
      </c>
      <c r="J846" s="68"/>
      <c r="K846" s="68"/>
      <c r="L846" s="312" t="str">
        <f t="shared" si="65"/>
        <v>扩展帧CAN消息</v>
      </c>
      <c r="M846" s="68"/>
    </row>
    <row r="847" s="215" customFormat="1" spans="1:13">
      <c r="A847" s="68"/>
      <c r="B847" s="68"/>
      <c r="C847" s="68"/>
      <c r="D847" s="68"/>
      <c r="E847" s="68"/>
      <c r="F847" s="68"/>
      <c r="G847" s="68" t="s">
        <v>483</v>
      </c>
      <c r="H847" s="68">
        <v>532</v>
      </c>
      <c r="I847" s="68">
        <v>16</v>
      </c>
      <c r="J847" s="68"/>
      <c r="K847" s="68"/>
      <c r="L847" s="312" t="str">
        <f t="shared" si="65"/>
        <v>扩展帧CAN消息</v>
      </c>
      <c r="M847" s="68"/>
    </row>
    <row r="848" s="215" customFormat="1" spans="1:13">
      <c r="A848" s="68"/>
      <c r="B848" s="68"/>
      <c r="C848" s="68"/>
      <c r="D848" s="68"/>
      <c r="E848" s="68"/>
      <c r="F848" s="68"/>
      <c r="G848" s="68" t="s">
        <v>20</v>
      </c>
      <c r="H848" s="68">
        <v>548</v>
      </c>
      <c r="I848" s="68">
        <v>4</v>
      </c>
      <c r="J848" s="68"/>
      <c r="K848" s="68"/>
      <c r="L848" s="68" t="s">
        <v>376</v>
      </c>
      <c r="M848" s="68"/>
    </row>
    <row r="849" s="215" customFormat="1" spans="1:13">
      <c r="A849" s="68"/>
      <c r="B849" s="68"/>
      <c r="C849" s="68"/>
      <c r="D849" s="68"/>
      <c r="E849" s="68"/>
      <c r="F849" s="68"/>
      <c r="G849" s="68" t="s">
        <v>484</v>
      </c>
      <c r="H849" s="68">
        <v>552</v>
      </c>
      <c r="I849" s="68">
        <v>16</v>
      </c>
      <c r="J849" s="68"/>
      <c r="K849" s="68"/>
      <c r="L849" s="312" t="str">
        <f t="shared" ref="L849:L852" si="66">IF(RIGHT(G849,5)="FRAME","扩展帧CAN消息","")</f>
        <v>扩展帧CAN消息</v>
      </c>
      <c r="M849" s="68"/>
    </row>
    <row r="850" s="215" customFormat="1" spans="1:13">
      <c r="A850" s="68"/>
      <c r="B850" s="68"/>
      <c r="C850" s="68"/>
      <c r="D850" s="68"/>
      <c r="E850" s="68"/>
      <c r="F850" s="68"/>
      <c r="G850" s="68" t="s">
        <v>485</v>
      </c>
      <c r="H850" s="68">
        <v>568</v>
      </c>
      <c r="I850" s="68">
        <v>16</v>
      </c>
      <c r="J850" s="68"/>
      <c r="K850" s="68"/>
      <c r="L850" s="312" t="str">
        <f t="shared" si="66"/>
        <v>扩展帧CAN消息</v>
      </c>
      <c r="M850" s="68"/>
    </row>
    <row r="851" s="215" customFormat="1" spans="1:13">
      <c r="A851" s="68"/>
      <c r="B851" s="68"/>
      <c r="C851" s="68"/>
      <c r="D851" s="68"/>
      <c r="E851" s="68"/>
      <c r="F851" s="68"/>
      <c r="G851" s="68" t="s">
        <v>486</v>
      </c>
      <c r="H851" s="68">
        <v>584</v>
      </c>
      <c r="I851" s="68">
        <v>16</v>
      </c>
      <c r="J851" s="68"/>
      <c r="K851" s="68"/>
      <c r="L851" s="312" t="str">
        <f t="shared" si="66"/>
        <v>扩展帧CAN消息</v>
      </c>
      <c r="M851" s="68"/>
    </row>
    <row r="852" s="215" customFormat="1" spans="1:13">
      <c r="A852" s="68"/>
      <c r="B852" s="68"/>
      <c r="C852" s="68"/>
      <c r="D852" s="68"/>
      <c r="E852" s="68"/>
      <c r="F852" s="68"/>
      <c r="G852" s="68" t="s">
        <v>487</v>
      </c>
      <c r="H852" s="68">
        <v>600</v>
      </c>
      <c r="I852" s="68">
        <v>16</v>
      </c>
      <c r="J852" s="68"/>
      <c r="K852" s="68"/>
      <c r="L852" s="312" t="str">
        <f t="shared" si="66"/>
        <v>扩展帧CAN消息</v>
      </c>
      <c r="M852" s="68"/>
    </row>
    <row r="853" s="215" customFormat="1" spans="1:13">
      <c r="A853" s="68"/>
      <c r="B853" s="68"/>
      <c r="C853" s="68"/>
      <c r="D853" s="68"/>
      <c r="E853" s="68"/>
      <c r="F853" s="68"/>
      <c r="G853" s="68" t="s">
        <v>20</v>
      </c>
      <c r="H853" s="68">
        <v>616</v>
      </c>
      <c r="I853" s="68">
        <v>4</v>
      </c>
      <c r="J853" s="68"/>
      <c r="K853" s="68"/>
      <c r="L853" s="312"/>
      <c r="M853" s="68"/>
    </row>
    <row r="854" s="215" customFormat="1" spans="1:13">
      <c r="A854" s="68"/>
      <c r="B854" s="68"/>
      <c r="C854" s="68"/>
      <c r="D854" s="68"/>
      <c r="E854" s="68"/>
      <c r="F854" s="68"/>
      <c r="G854" s="68" t="s">
        <v>488</v>
      </c>
      <c r="H854" s="68">
        <v>620</v>
      </c>
      <c r="I854" s="68">
        <v>16</v>
      </c>
      <c r="J854" s="68"/>
      <c r="K854" s="68"/>
      <c r="L854" s="312" t="str">
        <f t="shared" ref="L854:L857" si="67">IF(RIGHT(G854,5)="FRAME","扩展帧CAN消息","")</f>
        <v>扩展帧CAN消息</v>
      </c>
      <c r="M854" s="68"/>
    </row>
    <row r="855" s="215" customFormat="1" spans="1:13">
      <c r="A855" s="68"/>
      <c r="B855" s="68"/>
      <c r="C855" s="68"/>
      <c r="D855" s="68"/>
      <c r="E855" s="68"/>
      <c r="F855" s="68"/>
      <c r="G855" s="68" t="s">
        <v>489</v>
      </c>
      <c r="H855" s="68">
        <v>636</v>
      </c>
      <c r="I855" s="68">
        <v>16</v>
      </c>
      <c r="J855" s="68"/>
      <c r="K855" s="68"/>
      <c r="L855" s="312" t="str">
        <f t="shared" si="67"/>
        <v>扩展帧CAN消息</v>
      </c>
      <c r="M855" s="68"/>
    </row>
    <row r="856" s="215" customFormat="1" spans="1:13">
      <c r="A856" s="68"/>
      <c r="B856" s="68"/>
      <c r="C856" s="68"/>
      <c r="D856" s="68"/>
      <c r="E856" s="68"/>
      <c r="F856" s="68"/>
      <c r="G856" s="68" t="s">
        <v>490</v>
      </c>
      <c r="H856" s="68">
        <v>652</v>
      </c>
      <c r="I856" s="68">
        <v>16</v>
      </c>
      <c r="J856" s="68"/>
      <c r="K856" s="68"/>
      <c r="L856" s="312" t="str">
        <f t="shared" si="67"/>
        <v>扩展帧CAN消息</v>
      </c>
      <c r="M856" s="68"/>
    </row>
    <row r="857" s="215" customFormat="1" spans="1:13">
      <c r="A857" s="68"/>
      <c r="B857" s="68"/>
      <c r="C857" s="68"/>
      <c r="D857" s="68"/>
      <c r="E857" s="68"/>
      <c r="F857" s="68"/>
      <c r="G857" s="68" t="s">
        <v>491</v>
      </c>
      <c r="H857" s="68">
        <v>668</v>
      </c>
      <c r="I857" s="68">
        <v>16</v>
      </c>
      <c r="J857" s="68"/>
      <c r="K857" s="68"/>
      <c r="L857" s="312" t="str">
        <f t="shared" si="67"/>
        <v>扩展帧CAN消息</v>
      </c>
      <c r="M857" s="68"/>
    </row>
    <row r="858" s="215" customFormat="1" spans="1:13">
      <c r="A858" s="68"/>
      <c r="B858" s="68"/>
      <c r="C858" s="68"/>
      <c r="D858" s="68"/>
      <c r="E858" s="68"/>
      <c r="F858" s="68"/>
      <c r="G858" s="68" t="s">
        <v>20</v>
      </c>
      <c r="H858" s="68">
        <v>684</v>
      </c>
      <c r="I858" s="68">
        <v>4</v>
      </c>
      <c r="J858" s="68"/>
      <c r="K858" s="68"/>
      <c r="L858" s="312"/>
      <c r="M858" s="68"/>
    </row>
    <row r="859" s="215" customFormat="1" spans="1:13">
      <c r="A859" s="68"/>
      <c r="B859" s="68"/>
      <c r="C859" s="68"/>
      <c r="D859" s="68"/>
      <c r="E859" s="68"/>
      <c r="F859" s="68"/>
      <c r="G859" s="68" t="s">
        <v>492</v>
      </c>
      <c r="H859" s="68">
        <v>688</v>
      </c>
      <c r="I859" s="68">
        <v>16</v>
      </c>
      <c r="J859" s="68"/>
      <c r="K859" s="68"/>
      <c r="L859" s="312" t="str">
        <f t="shared" ref="L859:L862" si="68">IF(RIGHT(G859,5)="FRAME","扩展帧CAN消息","")</f>
        <v>扩展帧CAN消息</v>
      </c>
      <c r="M859" s="68"/>
    </row>
    <row r="860" s="215" customFormat="1" spans="1:13">
      <c r="A860" s="68"/>
      <c r="B860" s="68"/>
      <c r="C860" s="68"/>
      <c r="D860" s="68"/>
      <c r="E860" s="68"/>
      <c r="F860" s="68"/>
      <c r="G860" s="68" t="s">
        <v>493</v>
      </c>
      <c r="H860" s="68">
        <v>704</v>
      </c>
      <c r="I860" s="68">
        <v>16</v>
      </c>
      <c r="J860" s="68"/>
      <c r="K860" s="68"/>
      <c r="L860" s="312" t="str">
        <f t="shared" si="68"/>
        <v>扩展帧CAN消息</v>
      </c>
      <c r="M860" s="68"/>
    </row>
    <row r="861" s="215" customFormat="1" spans="1:13">
      <c r="A861" s="68"/>
      <c r="B861" s="68"/>
      <c r="C861" s="68"/>
      <c r="D861" s="68"/>
      <c r="E861" s="68"/>
      <c r="F861" s="68"/>
      <c r="G861" s="68" t="s">
        <v>494</v>
      </c>
      <c r="H861" s="68">
        <v>720</v>
      </c>
      <c r="I861" s="68">
        <v>16</v>
      </c>
      <c r="J861" s="68"/>
      <c r="K861" s="68"/>
      <c r="L861" s="312" t="str">
        <f t="shared" si="68"/>
        <v>扩展帧CAN消息</v>
      </c>
      <c r="M861" s="68"/>
    </row>
    <row r="862" s="215" customFormat="1" spans="1:13">
      <c r="A862" s="68"/>
      <c r="B862" s="68"/>
      <c r="C862" s="68"/>
      <c r="D862" s="68"/>
      <c r="E862" s="68"/>
      <c r="F862" s="68"/>
      <c r="G862" s="68" t="s">
        <v>495</v>
      </c>
      <c r="H862" s="68">
        <v>736</v>
      </c>
      <c r="I862" s="68">
        <v>16</v>
      </c>
      <c r="J862" s="68"/>
      <c r="K862" s="68"/>
      <c r="L862" s="312" t="str">
        <f t="shared" si="68"/>
        <v>扩展帧CAN消息</v>
      </c>
      <c r="M862" s="68"/>
    </row>
    <row r="863" s="215" customFormat="1" spans="1:13">
      <c r="A863" s="68"/>
      <c r="B863" s="68"/>
      <c r="C863" s="68"/>
      <c r="D863" s="68"/>
      <c r="E863" s="68"/>
      <c r="F863" s="68"/>
      <c r="G863" s="68" t="s">
        <v>20</v>
      </c>
      <c r="H863" s="68">
        <v>752</v>
      </c>
      <c r="I863" s="68">
        <v>4</v>
      </c>
      <c r="J863" s="68"/>
      <c r="K863" s="68"/>
      <c r="L863" s="68" t="s">
        <v>376</v>
      </c>
      <c r="M863" s="68"/>
    </row>
    <row r="864" s="215" customFormat="1" spans="1:13">
      <c r="A864" s="68"/>
      <c r="B864" s="68"/>
      <c r="C864" s="68"/>
      <c r="D864" s="68"/>
      <c r="E864" s="68"/>
      <c r="F864" s="68"/>
      <c r="G864" s="68" t="s">
        <v>496</v>
      </c>
      <c r="H864" s="68">
        <v>756</v>
      </c>
      <c r="I864" s="68">
        <v>16</v>
      </c>
      <c r="J864" s="68"/>
      <c r="K864" s="68"/>
      <c r="L864" s="312" t="str">
        <f t="shared" ref="L864:L867" si="69">IF(RIGHT(G864,5)="FRAME","扩展帧CAN消息","")</f>
        <v>扩展帧CAN消息</v>
      </c>
      <c r="M864" s="68"/>
    </row>
    <row r="865" s="215" customFormat="1" spans="1:13">
      <c r="A865" s="68"/>
      <c r="B865" s="68"/>
      <c r="C865" s="68"/>
      <c r="D865" s="68"/>
      <c r="E865" s="68"/>
      <c r="F865" s="68"/>
      <c r="G865" s="68" t="s">
        <v>497</v>
      </c>
      <c r="H865" s="68">
        <v>772</v>
      </c>
      <c r="I865" s="68">
        <v>16</v>
      </c>
      <c r="J865" s="68"/>
      <c r="K865" s="68"/>
      <c r="L865" s="312" t="str">
        <f t="shared" si="69"/>
        <v>扩展帧CAN消息</v>
      </c>
      <c r="M865" s="68"/>
    </row>
    <row r="866" s="215" customFormat="1" spans="1:13">
      <c r="A866" s="68"/>
      <c r="B866" s="68"/>
      <c r="C866" s="68"/>
      <c r="D866" s="68"/>
      <c r="E866" s="68"/>
      <c r="F866" s="68"/>
      <c r="G866" s="68" t="s">
        <v>498</v>
      </c>
      <c r="H866" s="68">
        <v>788</v>
      </c>
      <c r="I866" s="68">
        <v>16</v>
      </c>
      <c r="J866" s="68"/>
      <c r="K866" s="68"/>
      <c r="L866" s="312" t="str">
        <f t="shared" si="69"/>
        <v>扩展帧CAN消息</v>
      </c>
      <c r="M866" s="68"/>
    </row>
    <row r="867" s="215" customFormat="1" spans="1:13">
      <c r="A867" s="68"/>
      <c r="B867" s="68"/>
      <c r="C867" s="68"/>
      <c r="D867" s="68"/>
      <c r="E867" s="68"/>
      <c r="F867" s="68"/>
      <c r="G867" s="68" t="s">
        <v>499</v>
      </c>
      <c r="H867" s="68">
        <v>804</v>
      </c>
      <c r="I867" s="68">
        <v>16</v>
      </c>
      <c r="J867" s="68"/>
      <c r="K867" s="68"/>
      <c r="L867" s="312" t="str">
        <f t="shared" si="69"/>
        <v>扩展帧CAN消息</v>
      </c>
      <c r="M867" s="68"/>
    </row>
    <row r="868" s="215" customFormat="1" spans="1:13">
      <c r="A868" s="68"/>
      <c r="B868" s="68"/>
      <c r="C868" s="68"/>
      <c r="D868" s="68"/>
      <c r="E868" s="68"/>
      <c r="F868" s="68"/>
      <c r="G868" s="68" t="s">
        <v>20</v>
      </c>
      <c r="H868" s="68">
        <v>820</v>
      </c>
      <c r="I868" s="68">
        <v>4</v>
      </c>
      <c r="J868" s="68"/>
      <c r="K868" s="68"/>
      <c r="L868" s="312"/>
      <c r="M868" s="68"/>
    </row>
    <row r="869" s="215" customFormat="1" spans="1:13">
      <c r="A869" s="68"/>
      <c r="B869" s="68"/>
      <c r="C869" s="68"/>
      <c r="D869" s="68"/>
      <c r="E869" s="68"/>
      <c r="F869" s="68"/>
      <c r="G869" s="68" t="s">
        <v>500</v>
      </c>
      <c r="H869" s="68">
        <v>824</v>
      </c>
      <c r="I869" s="68">
        <v>16</v>
      </c>
      <c r="J869" s="68"/>
      <c r="K869" s="68"/>
      <c r="L869" s="312" t="str">
        <f t="shared" ref="L869:L872" si="70">IF(RIGHT(G869,5)="FRAME","扩展帧CAN消息","")</f>
        <v>扩展帧CAN消息</v>
      </c>
      <c r="M869" s="68"/>
    </row>
    <row r="870" s="215" customFormat="1" spans="1:13">
      <c r="A870" s="68"/>
      <c r="B870" s="68"/>
      <c r="C870" s="68"/>
      <c r="D870" s="68"/>
      <c r="E870" s="68"/>
      <c r="F870" s="68"/>
      <c r="G870" s="68" t="s">
        <v>501</v>
      </c>
      <c r="H870" s="68">
        <v>840</v>
      </c>
      <c r="I870" s="68">
        <v>16</v>
      </c>
      <c r="J870" s="68"/>
      <c r="K870" s="68"/>
      <c r="L870" s="312" t="str">
        <f t="shared" si="70"/>
        <v>扩展帧CAN消息</v>
      </c>
      <c r="M870" s="68"/>
    </row>
    <row r="871" s="215" customFormat="1" spans="1:13">
      <c r="A871" s="68"/>
      <c r="B871" s="68"/>
      <c r="C871" s="68"/>
      <c r="D871" s="68"/>
      <c r="E871" s="68"/>
      <c r="F871" s="68"/>
      <c r="G871" s="68" t="s">
        <v>502</v>
      </c>
      <c r="H871" s="68">
        <v>856</v>
      </c>
      <c r="I871" s="68">
        <v>16</v>
      </c>
      <c r="J871" s="68"/>
      <c r="K871" s="68"/>
      <c r="L871" s="312" t="str">
        <f t="shared" si="70"/>
        <v>扩展帧CAN消息</v>
      </c>
      <c r="M871" s="68"/>
    </row>
    <row r="872" s="215" customFormat="1" spans="1:13">
      <c r="A872" s="68"/>
      <c r="B872" s="68"/>
      <c r="C872" s="68"/>
      <c r="D872" s="68"/>
      <c r="E872" s="68"/>
      <c r="F872" s="68"/>
      <c r="G872" s="68" t="s">
        <v>503</v>
      </c>
      <c r="H872" s="68">
        <v>872</v>
      </c>
      <c r="I872" s="68">
        <v>16</v>
      </c>
      <c r="J872" s="68"/>
      <c r="K872" s="68"/>
      <c r="L872" s="312" t="str">
        <f t="shared" si="70"/>
        <v>扩展帧CAN消息</v>
      </c>
      <c r="M872" s="68"/>
    </row>
    <row r="873" s="215" customFormat="1" spans="1:13">
      <c r="A873" s="68"/>
      <c r="B873" s="68"/>
      <c r="C873" s="68"/>
      <c r="D873" s="68"/>
      <c r="E873" s="68"/>
      <c r="F873" s="68"/>
      <c r="G873" s="68" t="s">
        <v>20</v>
      </c>
      <c r="H873" s="68">
        <v>888</v>
      </c>
      <c r="I873" s="68">
        <v>4</v>
      </c>
      <c r="J873" s="68"/>
      <c r="K873" s="68"/>
      <c r="L873" s="312"/>
      <c r="M873" s="68"/>
    </row>
    <row r="874" s="215" customFormat="1" spans="1:13">
      <c r="A874" s="68"/>
      <c r="B874" s="68"/>
      <c r="C874" s="68"/>
      <c r="D874" s="68"/>
      <c r="E874" s="68"/>
      <c r="F874" s="68"/>
      <c r="G874" s="68" t="s">
        <v>504</v>
      </c>
      <c r="H874" s="68">
        <v>892</v>
      </c>
      <c r="I874" s="68">
        <v>16</v>
      </c>
      <c r="J874" s="68"/>
      <c r="K874" s="68"/>
      <c r="L874" s="312" t="str">
        <f t="shared" ref="L874:L877" si="71">IF(RIGHT(G874,5)="FRAME","扩展帧CAN消息","")</f>
        <v>扩展帧CAN消息</v>
      </c>
      <c r="M874" s="68"/>
    </row>
    <row r="875" s="215" customFormat="1" spans="1:13">
      <c r="A875" s="68"/>
      <c r="B875" s="68"/>
      <c r="C875" s="68"/>
      <c r="D875" s="68"/>
      <c r="E875" s="68"/>
      <c r="F875" s="68"/>
      <c r="G875" s="68" t="s">
        <v>505</v>
      </c>
      <c r="H875" s="68">
        <v>908</v>
      </c>
      <c r="I875" s="68">
        <v>16</v>
      </c>
      <c r="J875" s="68"/>
      <c r="K875" s="68"/>
      <c r="L875" s="312" t="str">
        <f t="shared" si="71"/>
        <v>扩展帧CAN消息</v>
      </c>
      <c r="M875" s="68"/>
    </row>
    <row r="876" s="215" customFormat="1" spans="1:13">
      <c r="A876" s="68"/>
      <c r="B876" s="68"/>
      <c r="C876" s="68"/>
      <c r="D876" s="68"/>
      <c r="E876" s="68"/>
      <c r="F876" s="68"/>
      <c r="G876" s="68" t="s">
        <v>506</v>
      </c>
      <c r="H876" s="68">
        <v>924</v>
      </c>
      <c r="I876" s="68">
        <v>16</v>
      </c>
      <c r="J876" s="68"/>
      <c r="K876" s="68"/>
      <c r="L876" s="312" t="str">
        <f t="shared" si="71"/>
        <v>扩展帧CAN消息</v>
      </c>
      <c r="M876" s="68"/>
    </row>
    <row r="877" s="215" customFormat="1" spans="1:13">
      <c r="A877" s="68"/>
      <c r="B877" s="68"/>
      <c r="C877" s="68"/>
      <c r="D877" s="68"/>
      <c r="E877" s="68"/>
      <c r="F877" s="68"/>
      <c r="G877" s="68" t="s">
        <v>507</v>
      </c>
      <c r="H877" s="68">
        <v>940</v>
      </c>
      <c r="I877" s="68">
        <v>16</v>
      </c>
      <c r="J877" s="68"/>
      <c r="K877" s="68"/>
      <c r="L877" s="312" t="str">
        <f t="shared" si="71"/>
        <v>扩展帧CAN消息</v>
      </c>
      <c r="M877" s="68"/>
    </row>
    <row r="878" s="215" customFormat="1" spans="1:13">
      <c r="A878" s="68"/>
      <c r="B878" s="68"/>
      <c r="C878" s="68"/>
      <c r="D878" s="68"/>
      <c r="E878" s="68"/>
      <c r="F878" s="68"/>
      <c r="G878" s="68" t="s">
        <v>20</v>
      </c>
      <c r="H878" s="68">
        <v>956</v>
      </c>
      <c r="I878" s="68">
        <v>4</v>
      </c>
      <c r="J878" s="68"/>
      <c r="K878" s="68"/>
      <c r="L878" s="68" t="s">
        <v>376</v>
      </c>
      <c r="M878" s="68"/>
    </row>
    <row r="879" s="215" customFormat="1" spans="1:13">
      <c r="A879" s="68"/>
      <c r="B879" s="68"/>
      <c r="C879" s="68"/>
      <c r="D879" s="68"/>
      <c r="E879" s="68"/>
      <c r="F879" s="68"/>
      <c r="G879" s="68" t="s">
        <v>508</v>
      </c>
      <c r="H879" s="68">
        <v>960</v>
      </c>
      <c r="I879" s="68">
        <v>16</v>
      </c>
      <c r="J879" s="68"/>
      <c r="K879" s="68"/>
      <c r="L879" s="312" t="str">
        <f t="shared" ref="L879:L882" si="72">IF(RIGHT(G879,5)="FRAME","扩展帧CAN消息","")</f>
        <v>扩展帧CAN消息</v>
      </c>
      <c r="M879" s="68"/>
    </row>
    <row r="880" s="215" customFormat="1" spans="1:13">
      <c r="A880" s="68"/>
      <c r="B880" s="68"/>
      <c r="C880" s="68"/>
      <c r="D880" s="68"/>
      <c r="E880" s="68"/>
      <c r="F880" s="68"/>
      <c r="G880" s="68" t="s">
        <v>509</v>
      </c>
      <c r="H880" s="68">
        <v>976</v>
      </c>
      <c r="I880" s="68">
        <v>16</v>
      </c>
      <c r="J880" s="68"/>
      <c r="K880" s="68"/>
      <c r="L880" s="312" t="str">
        <f t="shared" si="72"/>
        <v>扩展帧CAN消息</v>
      </c>
      <c r="M880" s="68"/>
    </row>
    <row r="881" s="215" customFormat="1" spans="1:13">
      <c r="A881" s="68"/>
      <c r="B881" s="68"/>
      <c r="C881" s="68"/>
      <c r="D881" s="68"/>
      <c r="E881" s="68"/>
      <c r="F881" s="68"/>
      <c r="G881" s="68" t="s">
        <v>510</v>
      </c>
      <c r="H881" s="68">
        <v>992</v>
      </c>
      <c r="I881" s="68">
        <v>16</v>
      </c>
      <c r="J881" s="68"/>
      <c r="K881" s="68"/>
      <c r="L881" s="312" t="str">
        <f t="shared" si="72"/>
        <v>扩展帧CAN消息</v>
      </c>
      <c r="M881" s="68"/>
    </row>
    <row r="882" s="215" customFormat="1" spans="1:13">
      <c r="A882" s="68"/>
      <c r="B882" s="68"/>
      <c r="C882" s="68"/>
      <c r="D882" s="68"/>
      <c r="E882" s="68"/>
      <c r="F882" s="68"/>
      <c r="G882" s="68" t="s">
        <v>511</v>
      </c>
      <c r="H882" s="68">
        <v>1008</v>
      </c>
      <c r="I882" s="68">
        <v>16</v>
      </c>
      <c r="J882" s="68"/>
      <c r="K882" s="68"/>
      <c r="L882" s="312" t="str">
        <f t="shared" si="72"/>
        <v>扩展帧CAN消息</v>
      </c>
      <c r="M882" s="68"/>
    </row>
    <row r="883" s="215" customFormat="1" spans="1:13">
      <c r="A883" s="68"/>
      <c r="B883" s="68"/>
      <c r="C883" s="68"/>
      <c r="D883" s="68"/>
      <c r="E883" s="68"/>
      <c r="F883" s="68"/>
      <c r="G883" s="68" t="s">
        <v>20</v>
      </c>
      <c r="H883" s="68">
        <v>1024</v>
      </c>
      <c r="I883" s="68">
        <v>4</v>
      </c>
      <c r="J883" s="68"/>
      <c r="K883" s="68"/>
      <c r="L883" s="312"/>
      <c r="M883" s="68"/>
    </row>
    <row r="884" s="215" customFormat="1" spans="1:13">
      <c r="A884" s="68"/>
      <c r="B884" s="68"/>
      <c r="C884" s="68"/>
      <c r="D884" s="68"/>
      <c r="E884" s="68"/>
      <c r="F884" s="68"/>
      <c r="G884" s="68" t="s">
        <v>512</v>
      </c>
      <c r="H884" s="68">
        <v>1028</v>
      </c>
      <c r="I884" s="68">
        <v>16</v>
      </c>
      <c r="J884" s="68"/>
      <c r="K884" s="68"/>
      <c r="L884" s="312" t="str">
        <f t="shared" ref="L884:L887" si="73">IF(RIGHT(G884,5)="FRAME","扩展帧CAN消息","")</f>
        <v>扩展帧CAN消息</v>
      </c>
      <c r="M884" s="68"/>
    </row>
    <row r="885" s="215" customFormat="1" spans="1:13">
      <c r="A885" s="68"/>
      <c r="B885" s="68"/>
      <c r="C885" s="68"/>
      <c r="D885" s="68"/>
      <c r="E885" s="68"/>
      <c r="F885" s="68"/>
      <c r="G885" s="68" t="s">
        <v>513</v>
      </c>
      <c r="H885" s="68">
        <v>1044</v>
      </c>
      <c r="I885" s="68">
        <v>16</v>
      </c>
      <c r="J885" s="68"/>
      <c r="K885" s="68"/>
      <c r="L885" s="312" t="str">
        <f t="shared" si="73"/>
        <v>扩展帧CAN消息</v>
      </c>
      <c r="M885" s="68"/>
    </row>
    <row r="886" s="215" customFormat="1" spans="1:13">
      <c r="A886" s="68"/>
      <c r="B886" s="68"/>
      <c r="C886" s="68"/>
      <c r="D886" s="68"/>
      <c r="E886" s="68"/>
      <c r="F886" s="68"/>
      <c r="G886" s="68" t="s">
        <v>514</v>
      </c>
      <c r="H886" s="68">
        <v>1060</v>
      </c>
      <c r="I886" s="68">
        <v>16</v>
      </c>
      <c r="J886" s="68"/>
      <c r="K886" s="68"/>
      <c r="L886" s="312" t="str">
        <f t="shared" si="73"/>
        <v>扩展帧CAN消息</v>
      </c>
      <c r="M886" s="68"/>
    </row>
    <row r="887" s="215" customFormat="1" spans="1:13">
      <c r="A887" s="68"/>
      <c r="B887" s="68"/>
      <c r="C887" s="68"/>
      <c r="D887" s="68"/>
      <c r="E887" s="68"/>
      <c r="F887" s="68"/>
      <c r="G887" s="68" t="s">
        <v>515</v>
      </c>
      <c r="H887" s="68">
        <v>1076</v>
      </c>
      <c r="I887" s="68">
        <v>16</v>
      </c>
      <c r="J887" s="68"/>
      <c r="K887" s="68"/>
      <c r="L887" s="312" t="str">
        <f t="shared" si="73"/>
        <v>扩展帧CAN消息</v>
      </c>
      <c r="M887" s="68"/>
    </row>
    <row r="888" s="215" customFormat="1" spans="1:13">
      <c r="A888" s="68"/>
      <c r="B888" s="68"/>
      <c r="C888" s="68"/>
      <c r="D888" s="68"/>
      <c r="E888" s="68"/>
      <c r="F888" s="68"/>
      <c r="G888" s="68" t="s">
        <v>20</v>
      </c>
      <c r="H888" s="68">
        <v>1092</v>
      </c>
      <c r="I888" s="68">
        <v>4</v>
      </c>
      <c r="J888" s="68"/>
      <c r="K888" s="68"/>
      <c r="L888" s="312"/>
      <c r="M888" s="68"/>
    </row>
    <row r="889" s="215" customFormat="1" spans="1:13">
      <c r="A889" s="68"/>
      <c r="B889" s="68"/>
      <c r="C889" s="68"/>
      <c r="D889" s="68"/>
      <c r="E889" s="68"/>
      <c r="F889" s="68"/>
      <c r="G889" s="68" t="s">
        <v>516</v>
      </c>
      <c r="H889" s="68">
        <v>1096</v>
      </c>
      <c r="I889" s="68">
        <v>16</v>
      </c>
      <c r="J889" s="68"/>
      <c r="K889" s="68"/>
      <c r="L889" s="312" t="str">
        <f t="shared" ref="L889:L895" si="74">IF(RIGHT(G889,5)="FRAME","扩展帧CAN消息","")</f>
        <v>扩展帧CAN消息</v>
      </c>
      <c r="M889" s="68"/>
    </row>
    <row r="890" s="215" customFormat="1" spans="1:13">
      <c r="A890" s="68" t="s">
        <v>410</v>
      </c>
      <c r="B890" s="68" t="s">
        <v>517</v>
      </c>
      <c r="C890" s="68" t="s">
        <v>213</v>
      </c>
      <c r="D890" s="68" t="s">
        <v>317</v>
      </c>
      <c r="E890" s="68">
        <v>7064</v>
      </c>
      <c r="F890" s="68" t="s">
        <v>86</v>
      </c>
      <c r="G890" s="68" t="s">
        <v>18</v>
      </c>
      <c r="H890" s="68">
        <v>0</v>
      </c>
      <c r="I890" s="68">
        <v>4</v>
      </c>
      <c r="J890" s="70" t="s">
        <v>77</v>
      </c>
      <c r="K890" s="70">
        <v>1000</v>
      </c>
      <c r="L890" s="312"/>
      <c r="M890" s="68">
        <v>1102201</v>
      </c>
    </row>
    <row r="891" s="215" customFormat="1" spans="1:13">
      <c r="A891" s="68"/>
      <c r="B891" s="68"/>
      <c r="C891" s="68"/>
      <c r="D891" s="68"/>
      <c r="E891" s="68"/>
      <c r="F891" s="68"/>
      <c r="G891" s="68" t="s">
        <v>20</v>
      </c>
      <c r="H891" s="68">
        <v>4</v>
      </c>
      <c r="I891" s="68">
        <v>4</v>
      </c>
      <c r="J891" s="70"/>
      <c r="K891" s="70"/>
      <c r="L891" s="312"/>
      <c r="M891" s="68"/>
    </row>
    <row r="892" s="215" customFormat="1" spans="1:13">
      <c r="A892" s="68"/>
      <c r="B892" s="68"/>
      <c r="C892" s="68"/>
      <c r="D892" s="68"/>
      <c r="E892" s="68"/>
      <c r="F892" s="68"/>
      <c r="G892" s="68" t="s">
        <v>518</v>
      </c>
      <c r="H892" s="68">
        <f t="shared" ref="H892:H939" si="75">H891+I891</f>
        <v>8</v>
      </c>
      <c r="I892" s="68">
        <v>16</v>
      </c>
      <c r="J892" s="70"/>
      <c r="K892" s="70"/>
      <c r="L892" s="312" t="str">
        <f t="shared" si="74"/>
        <v>扩展帧CAN消息</v>
      </c>
      <c r="M892" s="68"/>
    </row>
    <row r="893" s="215" customFormat="1" spans="1:13">
      <c r="A893" s="68"/>
      <c r="B893" s="68"/>
      <c r="C893" s="68"/>
      <c r="D893" s="68"/>
      <c r="E893" s="68"/>
      <c r="F893" s="68"/>
      <c r="G893" s="68" t="s">
        <v>519</v>
      </c>
      <c r="H893" s="68">
        <f t="shared" si="75"/>
        <v>24</v>
      </c>
      <c r="I893" s="68">
        <v>16</v>
      </c>
      <c r="J893" s="70"/>
      <c r="K893" s="70"/>
      <c r="L893" s="312" t="str">
        <f t="shared" si="74"/>
        <v>扩展帧CAN消息</v>
      </c>
      <c r="M893" s="68"/>
    </row>
    <row r="894" s="215" customFormat="1" spans="1:13">
      <c r="A894" s="68"/>
      <c r="B894" s="68"/>
      <c r="C894" s="68"/>
      <c r="D894" s="68"/>
      <c r="E894" s="68"/>
      <c r="F894" s="68"/>
      <c r="G894" s="68" t="s">
        <v>520</v>
      </c>
      <c r="H894" s="68">
        <f t="shared" si="75"/>
        <v>40</v>
      </c>
      <c r="I894" s="68">
        <v>16</v>
      </c>
      <c r="J894" s="70"/>
      <c r="K894" s="70"/>
      <c r="L894" s="312" t="str">
        <f t="shared" si="74"/>
        <v>扩展帧CAN消息</v>
      </c>
      <c r="M894" s="68"/>
    </row>
    <row r="895" s="215" customFormat="1" spans="1:13">
      <c r="A895" s="68"/>
      <c r="B895" s="68"/>
      <c r="C895" s="68"/>
      <c r="D895" s="68"/>
      <c r="E895" s="68"/>
      <c r="F895" s="68"/>
      <c r="G895" s="68" t="s">
        <v>521</v>
      </c>
      <c r="H895" s="68">
        <f t="shared" si="75"/>
        <v>56</v>
      </c>
      <c r="I895" s="68">
        <v>16</v>
      </c>
      <c r="J895" s="70"/>
      <c r="K895" s="70"/>
      <c r="L895" s="312" t="str">
        <f t="shared" si="74"/>
        <v>扩展帧CAN消息</v>
      </c>
      <c r="M895" s="68"/>
    </row>
    <row r="896" s="215" customFormat="1" spans="1:13">
      <c r="A896" s="68"/>
      <c r="B896" s="68"/>
      <c r="C896" s="68"/>
      <c r="D896" s="68"/>
      <c r="E896" s="68"/>
      <c r="F896" s="68"/>
      <c r="G896" s="68" t="s">
        <v>20</v>
      </c>
      <c r="H896" s="68">
        <f t="shared" si="75"/>
        <v>72</v>
      </c>
      <c r="I896" s="68">
        <v>4</v>
      </c>
      <c r="J896" s="70"/>
      <c r="K896" s="70"/>
      <c r="L896" s="312"/>
      <c r="M896" s="68"/>
    </row>
    <row r="897" s="215" customFormat="1" spans="1:13">
      <c r="A897" s="68"/>
      <c r="B897" s="68"/>
      <c r="C897" s="68"/>
      <c r="D897" s="68"/>
      <c r="E897" s="68"/>
      <c r="F897" s="68"/>
      <c r="G897" s="68" t="s">
        <v>522</v>
      </c>
      <c r="H897" s="68">
        <f t="shared" si="75"/>
        <v>76</v>
      </c>
      <c r="I897" s="68">
        <v>16</v>
      </c>
      <c r="J897" s="70"/>
      <c r="K897" s="70"/>
      <c r="L897" s="312" t="str">
        <f t="shared" ref="L897:L900" si="76">IF(RIGHT(G897,5)="FRAME","扩展帧CAN消息","")</f>
        <v>扩展帧CAN消息</v>
      </c>
      <c r="M897" s="68"/>
    </row>
    <row r="898" s="215" customFormat="1" spans="1:13">
      <c r="A898" s="68"/>
      <c r="B898" s="68"/>
      <c r="C898" s="68"/>
      <c r="D898" s="68"/>
      <c r="E898" s="68"/>
      <c r="F898" s="68"/>
      <c r="G898" s="68" t="s">
        <v>523</v>
      </c>
      <c r="H898" s="68">
        <f t="shared" si="75"/>
        <v>92</v>
      </c>
      <c r="I898" s="68">
        <v>16</v>
      </c>
      <c r="J898" s="70"/>
      <c r="K898" s="70"/>
      <c r="L898" s="312" t="str">
        <f t="shared" si="76"/>
        <v>扩展帧CAN消息</v>
      </c>
      <c r="M898" s="68"/>
    </row>
    <row r="899" s="215" customFormat="1" spans="1:13">
      <c r="A899" s="68"/>
      <c r="B899" s="68"/>
      <c r="C899" s="68"/>
      <c r="D899" s="68"/>
      <c r="E899" s="68"/>
      <c r="F899" s="68"/>
      <c r="G899" s="68" t="s">
        <v>524</v>
      </c>
      <c r="H899" s="68">
        <f t="shared" si="75"/>
        <v>108</v>
      </c>
      <c r="I899" s="68">
        <v>16</v>
      </c>
      <c r="J899" s="70"/>
      <c r="K899" s="70"/>
      <c r="L899" s="312" t="str">
        <f t="shared" si="76"/>
        <v>扩展帧CAN消息</v>
      </c>
      <c r="M899" s="68"/>
    </row>
    <row r="900" s="215" customFormat="1" spans="1:13">
      <c r="A900" s="68"/>
      <c r="B900" s="68"/>
      <c r="C900" s="68"/>
      <c r="D900" s="68"/>
      <c r="E900" s="68"/>
      <c r="F900" s="68"/>
      <c r="G900" s="68" t="s">
        <v>525</v>
      </c>
      <c r="H900" s="68">
        <f t="shared" si="75"/>
        <v>124</v>
      </c>
      <c r="I900" s="68">
        <v>16</v>
      </c>
      <c r="J900" s="70"/>
      <c r="K900" s="70"/>
      <c r="L900" s="312" t="str">
        <f t="shared" si="76"/>
        <v>扩展帧CAN消息</v>
      </c>
      <c r="M900" s="68"/>
    </row>
    <row r="901" s="215" customFormat="1" spans="1:13">
      <c r="A901" s="68"/>
      <c r="B901" s="68"/>
      <c r="C901" s="68"/>
      <c r="D901" s="68"/>
      <c r="E901" s="68"/>
      <c r="F901" s="68"/>
      <c r="G901" s="68" t="s">
        <v>20</v>
      </c>
      <c r="H901" s="68">
        <f t="shared" si="75"/>
        <v>140</v>
      </c>
      <c r="I901" s="68">
        <v>4</v>
      </c>
      <c r="J901" s="70"/>
      <c r="K901" s="70"/>
      <c r="L901" s="312"/>
      <c r="M901" s="68"/>
    </row>
    <row r="902" s="215" customFormat="1" spans="1:13">
      <c r="A902" s="68"/>
      <c r="B902" s="68"/>
      <c r="C902" s="68"/>
      <c r="D902" s="68"/>
      <c r="E902" s="68"/>
      <c r="F902" s="68"/>
      <c r="G902" s="68" t="s">
        <v>526</v>
      </c>
      <c r="H902" s="68">
        <f t="shared" si="75"/>
        <v>144</v>
      </c>
      <c r="I902" s="68">
        <v>16</v>
      </c>
      <c r="J902" s="70"/>
      <c r="K902" s="70"/>
      <c r="L902" s="312" t="str">
        <f t="shared" ref="L902:L905" si="77">IF(RIGHT(G902,5)="FRAME","扩展帧CAN消息","")</f>
        <v>扩展帧CAN消息</v>
      </c>
      <c r="M902" s="68"/>
    </row>
    <row r="903" s="215" customFormat="1" spans="1:13">
      <c r="A903" s="68"/>
      <c r="B903" s="68"/>
      <c r="C903" s="68"/>
      <c r="D903" s="68"/>
      <c r="E903" s="68"/>
      <c r="F903" s="68"/>
      <c r="G903" s="68" t="s">
        <v>527</v>
      </c>
      <c r="H903" s="68">
        <f t="shared" si="75"/>
        <v>160</v>
      </c>
      <c r="I903" s="68">
        <v>16</v>
      </c>
      <c r="J903" s="70"/>
      <c r="K903" s="70"/>
      <c r="L903" s="312" t="str">
        <f t="shared" si="77"/>
        <v>扩展帧CAN消息</v>
      </c>
      <c r="M903" s="68"/>
    </row>
    <row r="904" s="215" customFormat="1" spans="1:13">
      <c r="A904" s="68"/>
      <c r="B904" s="68"/>
      <c r="C904" s="68"/>
      <c r="D904" s="68"/>
      <c r="E904" s="68"/>
      <c r="F904" s="68"/>
      <c r="G904" s="68" t="s">
        <v>528</v>
      </c>
      <c r="H904" s="68">
        <f t="shared" si="75"/>
        <v>176</v>
      </c>
      <c r="I904" s="68">
        <v>16</v>
      </c>
      <c r="J904" s="70"/>
      <c r="K904" s="70"/>
      <c r="L904" s="312" t="str">
        <f t="shared" si="77"/>
        <v>扩展帧CAN消息</v>
      </c>
      <c r="M904" s="68"/>
    </row>
    <row r="905" s="215" customFormat="1" spans="1:13">
      <c r="A905" s="68"/>
      <c r="B905" s="68"/>
      <c r="C905" s="68"/>
      <c r="D905" s="68"/>
      <c r="E905" s="68"/>
      <c r="F905" s="68"/>
      <c r="G905" s="68" t="s">
        <v>529</v>
      </c>
      <c r="H905" s="68">
        <f t="shared" si="75"/>
        <v>192</v>
      </c>
      <c r="I905" s="68">
        <v>16</v>
      </c>
      <c r="J905" s="70"/>
      <c r="K905" s="70"/>
      <c r="L905" s="312" t="str">
        <f t="shared" si="77"/>
        <v>扩展帧CAN消息</v>
      </c>
      <c r="M905" s="68"/>
    </row>
    <row r="906" s="215" customFormat="1" spans="1:13">
      <c r="A906" s="68"/>
      <c r="B906" s="68"/>
      <c r="C906" s="68"/>
      <c r="D906" s="68"/>
      <c r="E906" s="68"/>
      <c r="F906" s="68"/>
      <c r="G906" s="68" t="s">
        <v>20</v>
      </c>
      <c r="H906" s="68">
        <f t="shared" si="75"/>
        <v>208</v>
      </c>
      <c r="I906" s="68">
        <v>4</v>
      </c>
      <c r="J906" s="70"/>
      <c r="K906" s="70"/>
      <c r="L906" s="312"/>
      <c r="M906" s="68"/>
    </row>
    <row r="907" s="215" customFormat="1" spans="1:13">
      <c r="A907" s="68"/>
      <c r="B907" s="68"/>
      <c r="C907" s="68"/>
      <c r="D907" s="68"/>
      <c r="E907" s="68"/>
      <c r="F907" s="68"/>
      <c r="G907" s="68" t="s">
        <v>530</v>
      </c>
      <c r="H907" s="68">
        <f t="shared" si="75"/>
        <v>212</v>
      </c>
      <c r="I907" s="68">
        <v>16</v>
      </c>
      <c r="J907" s="70"/>
      <c r="K907" s="70"/>
      <c r="L907" s="312" t="str">
        <f t="shared" ref="L907:L910" si="78">IF(RIGHT(G907,5)="FRAME","扩展帧CAN消息","")</f>
        <v>扩展帧CAN消息</v>
      </c>
      <c r="M907" s="68"/>
    </row>
    <row r="908" s="215" customFormat="1" spans="1:13">
      <c r="A908" s="68"/>
      <c r="B908" s="68"/>
      <c r="C908" s="68"/>
      <c r="D908" s="68"/>
      <c r="E908" s="68"/>
      <c r="F908" s="68"/>
      <c r="G908" s="68" t="s">
        <v>531</v>
      </c>
      <c r="H908" s="68">
        <f t="shared" si="75"/>
        <v>228</v>
      </c>
      <c r="I908" s="68">
        <v>16</v>
      </c>
      <c r="J908" s="70"/>
      <c r="K908" s="70"/>
      <c r="L908" s="312" t="str">
        <f t="shared" si="78"/>
        <v>扩展帧CAN消息</v>
      </c>
      <c r="M908" s="68"/>
    </row>
    <row r="909" s="215" customFormat="1" spans="1:13">
      <c r="A909" s="68"/>
      <c r="B909" s="68"/>
      <c r="C909" s="68"/>
      <c r="D909" s="68"/>
      <c r="E909" s="68"/>
      <c r="F909" s="68"/>
      <c r="G909" s="68" t="s">
        <v>532</v>
      </c>
      <c r="H909" s="68">
        <f t="shared" si="75"/>
        <v>244</v>
      </c>
      <c r="I909" s="68">
        <v>16</v>
      </c>
      <c r="J909" s="70"/>
      <c r="K909" s="70"/>
      <c r="L909" s="312" t="str">
        <f t="shared" si="78"/>
        <v>扩展帧CAN消息</v>
      </c>
      <c r="M909" s="68"/>
    </row>
    <row r="910" s="215" customFormat="1" spans="1:13">
      <c r="A910" s="68"/>
      <c r="B910" s="68"/>
      <c r="C910" s="68"/>
      <c r="D910" s="68"/>
      <c r="E910" s="68"/>
      <c r="F910" s="68"/>
      <c r="G910" s="68" t="s">
        <v>533</v>
      </c>
      <c r="H910" s="68">
        <f t="shared" si="75"/>
        <v>260</v>
      </c>
      <c r="I910" s="68">
        <v>16</v>
      </c>
      <c r="J910" s="70"/>
      <c r="K910" s="70"/>
      <c r="L910" s="312" t="str">
        <f t="shared" si="78"/>
        <v>扩展帧CAN消息</v>
      </c>
      <c r="M910" s="68"/>
    </row>
    <row r="911" s="215" customFormat="1" spans="1:13">
      <c r="A911" s="68"/>
      <c r="B911" s="68"/>
      <c r="C911" s="68"/>
      <c r="D911" s="68"/>
      <c r="E911" s="68"/>
      <c r="F911" s="68"/>
      <c r="G911" s="68" t="s">
        <v>20</v>
      </c>
      <c r="H911" s="68">
        <f t="shared" si="75"/>
        <v>276</v>
      </c>
      <c r="I911" s="68">
        <v>4</v>
      </c>
      <c r="J911" s="70"/>
      <c r="K911" s="70"/>
      <c r="L911" s="312"/>
      <c r="M911" s="68"/>
    </row>
    <row r="912" s="215" customFormat="1" spans="1:13">
      <c r="A912" s="68"/>
      <c r="B912" s="68"/>
      <c r="C912" s="68"/>
      <c r="D912" s="68"/>
      <c r="E912" s="68"/>
      <c r="F912" s="68"/>
      <c r="G912" s="68" t="s">
        <v>534</v>
      </c>
      <c r="H912" s="68">
        <f t="shared" si="75"/>
        <v>280</v>
      </c>
      <c r="I912" s="68">
        <v>16</v>
      </c>
      <c r="J912" s="70"/>
      <c r="K912" s="70"/>
      <c r="L912" s="312" t="str">
        <f t="shared" ref="L912:L915" si="79">IF(RIGHT(G912,5)="FRAME","扩展帧CAN消息","")</f>
        <v>扩展帧CAN消息</v>
      </c>
      <c r="M912" s="68"/>
    </row>
    <row r="913" s="215" customFormat="1" spans="1:13">
      <c r="A913" s="68"/>
      <c r="B913" s="68"/>
      <c r="C913" s="68"/>
      <c r="D913" s="68"/>
      <c r="E913" s="68"/>
      <c r="F913" s="68"/>
      <c r="G913" s="68" t="s">
        <v>535</v>
      </c>
      <c r="H913" s="68">
        <f t="shared" si="75"/>
        <v>296</v>
      </c>
      <c r="I913" s="68">
        <v>16</v>
      </c>
      <c r="J913" s="70"/>
      <c r="K913" s="70"/>
      <c r="L913" s="312" t="str">
        <f t="shared" si="79"/>
        <v>扩展帧CAN消息</v>
      </c>
      <c r="M913" s="68"/>
    </row>
    <row r="914" s="215" customFormat="1" spans="1:13">
      <c r="A914" s="68"/>
      <c r="B914" s="68"/>
      <c r="C914" s="68"/>
      <c r="D914" s="68"/>
      <c r="E914" s="68"/>
      <c r="F914" s="68"/>
      <c r="G914" s="68" t="s">
        <v>536</v>
      </c>
      <c r="H914" s="68">
        <f t="shared" si="75"/>
        <v>312</v>
      </c>
      <c r="I914" s="68">
        <v>16</v>
      </c>
      <c r="J914" s="70"/>
      <c r="K914" s="70"/>
      <c r="L914" s="312" t="str">
        <f t="shared" si="79"/>
        <v>扩展帧CAN消息</v>
      </c>
      <c r="M914" s="68"/>
    </row>
    <row r="915" s="215" customFormat="1" spans="1:13">
      <c r="A915" s="68"/>
      <c r="B915" s="68"/>
      <c r="C915" s="68"/>
      <c r="D915" s="68"/>
      <c r="E915" s="68"/>
      <c r="F915" s="68"/>
      <c r="G915" s="68" t="s">
        <v>537</v>
      </c>
      <c r="H915" s="68">
        <f t="shared" si="75"/>
        <v>328</v>
      </c>
      <c r="I915" s="68">
        <v>16</v>
      </c>
      <c r="J915" s="70"/>
      <c r="K915" s="70"/>
      <c r="L915" s="312" t="str">
        <f t="shared" si="79"/>
        <v>扩展帧CAN消息</v>
      </c>
      <c r="M915" s="68"/>
    </row>
    <row r="916" s="215" customFormat="1" spans="1:13">
      <c r="A916" s="68"/>
      <c r="B916" s="68"/>
      <c r="C916" s="68"/>
      <c r="D916" s="68"/>
      <c r="E916" s="68"/>
      <c r="F916" s="68"/>
      <c r="G916" s="68" t="s">
        <v>20</v>
      </c>
      <c r="H916" s="68">
        <f t="shared" si="75"/>
        <v>344</v>
      </c>
      <c r="I916" s="68">
        <v>4</v>
      </c>
      <c r="J916" s="70"/>
      <c r="K916" s="70"/>
      <c r="L916" s="312"/>
      <c r="M916" s="68"/>
    </row>
    <row r="917" s="215" customFormat="1" spans="1:13">
      <c r="A917" s="68"/>
      <c r="B917" s="68"/>
      <c r="C917" s="68"/>
      <c r="D917" s="68"/>
      <c r="E917" s="68"/>
      <c r="F917" s="68"/>
      <c r="G917" s="68" t="s">
        <v>538</v>
      </c>
      <c r="H917" s="68">
        <f t="shared" si="75"/>
        <v>348</v>
      </c>
      <c r="I917" s="68">
        <v>16</v>
      </c>
      <c r="J917" s="70"/>
      <c r="K917" s="70"/>
      <c r="L917" s="312" t="str">
        <f t="shared" ref="L917:L920" si="80">IF(RIGHT(G917,5)="FRAME","扩展帧CAN消息","")</f>
        <v>扩展帧CAN消息</v>
      </c>
      <c r="M917" s="68"/>
    </row>
    <row r="918" s="215" customFormat="1" spans="1:13">
      <c r="A918" s="68"/>
      <c r="B918" s="68"/>
      <c r="C918" s="68"/>
      <c r="D918" s="68"/>
      <c r="E918" s="68"/>
      <c r="F918" s="68"/>
      <c r="G918" s="68" t="s">
        <v>539</v>
      </c>
      <c r="H918" s="68">
        <f t="shared" si="75"/>
        <v>364</v>
      </c>
      <c r="I918" s="68">
        <v>16</v>
      </c>
      <c r="J918" s="70"/>
      <c r="K918" s="70"/>
      <c r="L918" s="312" t="str">
        <f t="shared" si="80"/>
        <v>扩展帧CAN消息</v>
      </c>
      <c r="M918" s="68"/>
    </row>
    <row r="919" s="215" customFormat="1" spans="1:13">
      <c r="A919" s="68"/>
      <c r="B919" s="68"/>
      <c r="C919" s="68"/>
      <c r="D919" s="68"/>
      <c r="E919" s="68"/>
      <c r="F919" s="68"/>
      <c r="G919" s="68" t="s">
        <v>540</v>
      </c>
      <c r="H919" s="68">
        <f t="shared" si="75"/>
        <v>380</v>
      </c>
      <c r="I919" s="68">
        <v>16</v>
      </c>
      <c r="J919" s="70"/>
      <c r="K919" s="70"/>
      <c r="L919" s="312" t="str">
        <f t="shared" si="80"/>
        <v>扩展帧CAN消息</v>
      </c>
      <c r="M919" s="68"/>
    </row>
    <row r="920" s="215" customFormat="1" spans="1:13">
      <c r="A920" s="68"/>
      <c r="B920" s="68"/>
      <c r="C920" s="68"/>
      <c r="D920" s="68"/>
      <c r="E920" s="68"/>
      <c r="F920" s="68"/>
      <c r="G920" s="68" t="s">
        <v>541</v>
      </c>
      <c r="H920" s="68">
        <f t="shared" si="75"/>
        <v>396</v>
      </c>
      <c r="I920" s="68">
        <v>16</v>
      </c>
      <c r="J920" s="70"/>
      <c r="K920" s="70"/>
      <c r="L920" s="312" t="str">
        <f t="shared" si="80"/>
        <v>扩展帧CAN消息</v>
      </c>
      <c r="M920" s="68"/>
    </row>
    <row r="921" s="215" customFormat="1" spans="1:13">
      <c r="A921" s="68"/>
      <c r="B921" s="68"/>
      <c r="C921" s="68"/>
      <c r="D921" s="68"/>
      <c r="E921" s="68"/>
      <c r="F921" s="68"/>
      <c r="G921" s="68" t="s">
        <v>20</v>
      </c>
      <c r="H921" s="68">
        <f t="shared" si="75"/>
        <v>412</v>
      </c>
      <c r="I921" s="68">
        <v>4</v>
      </c>
      <c r="J921" s="70"/>
      <c r="K921" s="70"/>
      <c r="L921" s="312"/>
      <c r="M921" s="68"/>
    </row>
    <row r="922" s="215" customFormat="1" spans="1:13">
      <c r="A922" s="68"/>
      <c r="B922" s="68"/>
      <c r="C922" s="68"/>
      <c r="D922" s="68"/>
      <c r="E922" s="68"/>
      <c r="F922" s="68"/>
      <c r="G922" s="68" t="s">
        <v>542</v>
      </c>
      <c r="H922" s="68">
        <f t="shared" si="75"/>
        <v>416</v>
      </c>
      <c r="I922" s="68">
        <v>16</v>
      </c>
      <c r="J922" s="70"/>
      <c r="K922" s="70"/>
      <c r="L922" s="312" t="str">
        <f t="shared" ref="L922:L925" si="81">IF(RIGHT(G922,5)="FRAME","扩展帧CAN消息","")</f>
        <v>扩展帧CAN消息</v>
      </c>
      <c r="M922" s="68"/>
    </row>
    <row r="923" s="215" customFormat="1" spans="1:13">
      <c r="A923" s="68"/>
      <c r="B923" s="68"/>
      <c r="C923" s="68"/>
      <c r="D923" s="68"/>
      <c r="E923" s="68"/>
      <c r="F923" s="68"/>
      <c r="G923" s="68" t="s">
        <v>543</v>
      </c>
      <c r="H923" s="68">
        <f t="shared" si="75"/>
        <v>432</v>
      </c>
      <c r="I923" s="68">
        <v>16</v>
      </c>
      <c r="J923" s="70"/>
      <c r="K923" s="70"/>
      <c r="L923" s="312" t="str">
        <f t="shared" si="81"/>
        <v>扩展帧CAN消息</v>
      </c>
      <c r="M923" s="68"/>
    </row>
    <row r="924" s="215" customFormat="1" spans="1:13">
      <c r="A924" s="68"/>
      <c r="B924" s="68"/>
      <c r="C924" s="68"/>
      <c r="D924" s="68"/>
      <c r="E924" s="68"/>
      <c r="F924" s="68"/>
      <c r="G924" s="68" t="s">
        <v>544</v>
      </c>
      <c r="H924" s="68">
        <f t="shared" si="75"/>
        <v>448</v>
      </c>
      <c r="I924" s="68">
        <v>16</v>
      </c>
      <c r="J924" s="70"/>
      <c r="K924" s="70"/>
      <c r="L924" s="312" t="str">
        <f t="shared" si="81"/>
        <v>扩展帧CAN消息</v>
      </c>
      <c r="M924" s="68"/>
    </row>
    <row r="925" s="215" customFormat="1" spans="1:13">
      <c r="A925" s="68"/>
      <c r="B925" s="68"/>
      <c r="C925" s="68"/>
      <c r="D925" s="68"/>
      <c r="E925" s="68"/>
      <c r="F925" s="68"/>
      <c r="G925" s="68" t="s">
        <v>545</v>
      </c>
      <c r="H925" s="68">
        <f t="shared" si="75"/>
        <v>464</v>
      </c>
      <c r="I925" s="68">
        <v>16</v>
      </c>
      <c r="J925" s="70"/>
      <c r="K925" s="70"/>
      <c r="L925" s="312" t="str">
        <f t="shared" si="81"/>
        <v>扩展帧CAN消息</v>
      </c>
      <c r="M925" s="68"/>
    </row>
    <row r="926" s="215" customFormat="1" spans="1:13">
      <c r="A926" s="68"/>
      <c r="B926" s="68"/>
      <c r="C926" s="68"/>
      <c r="D926" s="68"/>
      <c r="E926" s="68"/>
      <c r="F926" s="68"/>
      <c r="G926" s="68" t="s">
        <v>20</v>
      </c>
      <c r="H926" s="68">
        <f t="shared" si="75"/>
        <v>480</v>
      </c>
      <c r="I926" s="68">
        <v>4</v>
      </c>
      <c r="J926" s="70"/>
      <c r="K926" s="70"/>
      <c r="L926" s="317"/>
      <c r="M926" s="68"/>
    </row>
    <row r="927" s="215" customFormat="1" spans="1:13">
      <c r="A927" s="68"/>
      <c r="B927" s="68"/>
      <c r="C927" s="68"/>
      <c r="D927" s="68"/>
      <c r="E927" s="68"/>
      <c r="F927" s="68"/>
      <c r="G927" s="68" t="s">
        <v>546</v>
      </c>
      <c r="H927" s="68">
        <f t="shared" si="75"/>
        <v>484</v>
      </c>
      <c r="I927" s="68">
        <v>16</v>
      </c>
      <c r="J927" s="70"/>
      <c r="K927" s="70"/>
      <c r="L927" s="312" t="str">
        <f t="shared" ref="L927:L930" si="82">IF(RIGHT(G927,5)="FRAME","扩展帧CAN消息","")</f>
        <v>扩展帧CAN消息</v>
      </c>
      <c r="M927" s="68"/>
    </row>
    <row r="928" s="215" customFormat="1" spans="1:13">
      <c r="A928" s="68"/>
      <c r="B928" s="68"/>
      <c r="C928" s="68"/>
      <c r="D928" s="68"/>
      <c r="E928" s="68"/>
      <c r="F928" s="68"/>
      <c r="G928" s="68" t="s">
        <v>547</v>
      </c>
      <c r="H928" s="68">
        <f t="shared" si="75"/>
        <v>500</v>
      </c>
      <c r="I928" s="68">
        <v>16</v>
      </c>
      <c r="J928" s="70"/>
      <c r="K928" s="70"/>
      <c r="L928" s="312" t="str">
        <f t="shared" si="82"/>
        <v>扩展帧CAN消息</v>
      </c>
      <c r="M928" s="68"/>
    </row>
    <row r="929" s="215" customFormat="1" spans="1:13">
      <c r="A929" s="68"/>
      <c r="B929" s="68"/>
      <c r="C929" s="68"/>
      <c r="D929" s="68"/>
      <c r="E929" s="68"/>
      <c r="F929" s="68"/>
      <c r="G929" s="68" t="s">
        <v>548</v>
      </c>
      <c r="H929" s="68">
        <f t="shared" si="75"/>
        <v>516</v>
      </c>
      <c r="I929" s="68">
        <v>16</v>
      </c>
      <c r="J929" s="70"/>
      <c r="K929" s="70"/>
      <c r="L929" s="312" t="str">
        <f t="shared" si="82"/>
        <v>扩展帧CAN消息</v>
      </c>
      <c r="M929" s="68"/>
    </row>
    <row r="930" s="215" customFormat="1" spans="1:13">
      <c r="A930" s="68"/>
      <c r="B930" s="68"/>
      <c r="C930" s="68"/>
      <c r="D930" s="68"/>
      <c r="E930" s="68"/>
      <c r="F930" s="68"/>
      <c r="G930" s="68" t="s">
        <v>549</v>
      </c>
      <c r="H930" s="68">
        <f t="shared" si="75"/>
        <v>532</v>
      </c>
      <c r="I930" s="68">
        <v>16</v>
      </c>
      <c r="J930" s="70"/>
      <c r="K930" s="70"/>
      <c r="L930" s="312" t="str">
        <f t="shared" si="82"/>
        <v>扩展帧CAN消息</v>
      </c>
      <c r="M930" s="68"/>
    </row>
    <row r="931" s="215" customFormat="1" spans="1:13">
      <c r="A931" s="68"/>
      <c r="B931" s="68"/>
      <c r="C931" s="68"/>
      <c r="D931" s="68"/>
      <c r="E931" s="68"/>
      <c r="F931" s="68"/>
      <c r="G931" s="68" t="s">
        <v>20</v>
      </c>
      <c r="H931" s="68">
        <f t="shared" si="75"/>
        <v>548</v>
      </c>
      <c r="I931" s="68">
        <v>4</v>
      </c>
      <c r="J931" s="70"/>
      <c r="K931" s="70"/>
      <c r="L931" s="312"/>
      <c r="M931" s="68"/>
    </row>
    <row r="932" s="215" customFormat="1" spans="1:13">
      <c r="A932" s="68"/>
      <c r="B932" s="68"/>
      <c r="C932" s="68"/>
      <c r="D932" s="68"/>
      <c r="E932" s="68"/>
      <c r="F932" s="68"/>
      <c r="G932" s="68" t="s">
        <v>550</v>
      </c>
      <c r="H932" s="68">
        <f t="shared" si="75"/>
        <v>552</v>
      </c>
      <c r="I932" s="68">
        <v>16</v>
      </c>
      <c r="J932" s="70"/>
      <c r="K932" s="70"/>
      <c r="L932" s="312" t="str">
        <f t="shared" ref="L932:L935" si="83">IF(RIGHT(G932,5)="FRAME","扩展帧CAN消息","")</f>
        <v>扩展帧CAN消息</v>
      </c>
      <c r="M932" s="68"/>
    </row>
    <row r="933" s="215" customFormat="1" spans="1:13">
      <c r="A933" s="68"/>
      <c r="B933" s="68"/>
      <c r="C933" s="68"/>
      <c r="D933" s="68"/>
      <c r="E933" s="68"/>
      <c r="F933" s="68"/>
      <c r="G933" s="68" t="s">
        <v>551</v>
      </c>
      <c r="H933" s="68">
        <f t="shared" si="75"/>
        <v>568</v>
      </c>
      <c r="I933" s="68">
        <v>16</v>
      </c>
      <c r="J933" s="70"/>
      <c r="K933" s="70"/>
      <c r="L933" s="312" t="str">
        <f t="shared" si="83"/>
        <v>扩展帧CAN消息</v>
      </c>
      <c r="M933" s="68"/>
    </row>
    <row r="934" s="215" customFormat="1" spans="1:13">
      <c r="A934" s="68"/>
      <c r="B934" s="68"/>
      <c r="C934" s="68"/>
      <c r="D934" s="68"/>
      <c r="E934" s="68"/>
      <c r="F934" s="68"/>
      <c r="G934" s="68" t="s">
        <v>552</v>
      </c>
      <c r="H934" s="68">
        <f t="shared" si="75"/>
        <v>584</v>
      </c>
      <c r="I934" s="68">
        <v>16</v>
      </c>
      <c r="J934" s="70"/>
      <c r="K934" s="70"/>
      <c r="L934" s="312" t="str">
        <f t="shared" si="83"/>
        <v>扩展帧CAN消息</v>
      </c>
      <c r="M934" s="68"/>
    </row>
    <row r="935" s="215" customFormat="1" spans="1:13">
      <c r="A935" s="68"/>
      <c r="B935" s="68"/>
      <c r="C935" s="68"/>
      <c r="D935" s="68"/>
      <c r="E935" s="68"/>
      <c r="F935" s="68"/>
      <c r="G935" s="68" t="s">
        <v>553</v>
      </c>
      <c r="H935" s="68">
        <f t="shared" si="75"/>
        <v>600</v>
      </c>
      <c r="I935" s="68">
        <v>16</v>
      </c>
      <c r="J935" s="70"/>
      <c r="K935" s="70"/>
      <c r="L935" s="312" t="str">
        <f t="shared" si="83"/>
        <v>扩展帧CAN消息</v>
      </c>
      <c r="M935" s="68"/>
    </row>
    <row r="936" s="215" customFormat="1" spans="1:13">
      <c r="A936" s="68"/>
      <c r="B936" s="68"/>
      <c r="C936" s="68"/>
      <c r="D936" s="68"/>
      <c r="E936" s="68"/>
      <c r="F936" s="68"/>
      <c r="G936" s="68" t="s">
        <v>20</v>
      </c>
      <c r="H936" s="68">
        <f t="shared" si="75"/>
        <v>616</v>
      </c>
      <c r="I936" s="68">
        <v>4</v>
      </c>
      <c r="J936" s="70"/>
      <c r="K936" s="70"/>
      <c r="L936" s="317"/>
      <c r="M936" s="68"/>
    </row>
    <row r="937" s="215" customFormat="1" spans="1:13">
      <c r="A937" s="68"/>
      <c r="B937" s="68"/>
      <c r="C937" s="68"/>
      <c r="D937" s="68"/>
      <c r="E937" s="68"/>
      <c r="F937" s="68"/>
      <c r="G937" s="68" t="s">
        <v>554</v>
      </c>
      <c r="H937" s="68">
        <f t="shared" si="75"/>
        <v>620</v>
      </c>
      <c r="I937" s="68">
        <v>16</v>
      </c>
      <c r="J937" s="70"/>
      <c r="K937" s="70"/>
      <c r="L937" s="312" t="str">
        <f t="shared" ref="L937:L939" si="84">IF(RIGHT(G937,5)="FRAME","扩展帧CAN消息","")</f>
        <v>扩展帧CAN消息</v>
      </c>
      <c r="M937" s="68"/>
    </row>
    <row r="938" s="215" customFormat="1" spans="1:13">
      <c r="A938" s="68"/>
      <c r="B938" s="68"/>
      <c r="C938" s="68"/>
      <c r="D938" s="68"/>
      <c r="E938" s="68"/>
      <c r="F938" s="68"/>
      <c r="G938" s="68" t="s">
        <v>555</v>
      </c>
      <c r="H938" s="68">
        <f t="shared" si="75"/>
        <v>636</v>
      </c>
      <c r="I938" s="68">
        <v>16</v>
      </c>
      <c r="J938" s="70"/>
      <c r="K938" s="70"/>
      <c r="L938" s="312" t="str">
        <f t="shared" si="84"/>
        <v>扩展帧CAN消息</v>
      </c>
      <c r="M938" s="68"/>
    </row>
    <row r="939" s="215" customFormat="1" spans="1:13">
      <c r="A939" s="68"/>
      <c r="B939" s="68"/>
      <c r="C939" s="68"/>
      <c r="D939" s="68"/>
      <c r="E939" s="68"/>
      <c r="F939" s="68"/>
      <c r="G939" s="68" t="s">
        <v>556</v>
      </c>
      <c r="H939" s="68">
        <f t="shared" si="75"/>
        <v>652</v>
      </c>
      <c r="I939" s="68">
        <v>16</v>
      </c>
      <c r="J939" s="70"/>
      <c r="K939" s="70"/>
      <c r="L939" s="312" t="str">
        <f t="shared" si="84"/>
        <v>扩展帧CAN消息</v>
      </c>
      <c r="M939" s="68"/>
    </row>
    <row r="940" s="215" customFormat="1" spans="1:13">
      <c r="A940" s="68" t="s">
        <v>310</v>
      </c>
      <c r="B940" s="68" t="s">
        <v>557</v>
      </c>
      <c r="C940" s="68" t="s">
        <v>213</v>
      </c>
      <c r="D940" s="68" t="s">
        <v>317</v>
      </c>
      <c r="E940" s="68">
        <v>7065</v>
      </c>
      <c r="F940" s="68" t="s">
        <v>86</v>
      </c>
      <c r="G940" s="68" t="s">
        <v>18</v>
      </c>
      <c r="H940" s="68">
        <v>0</v>
      </c>
      <c r="I940" s="68">
        <v>4</v>
      </c>
      <c r="J940" s="68" t="s">
        <v>77</v>
      </c>
      <c r="K940" s="68">
        <v>1000</v>
      </c>
      <c r="L940" s="312"/>
      <c r="M940" s="68">
        <v>1102201</v>
      </c>
    </row>
    <row r="941" s="215" customFormat="1" spans="1:13">
      <c r="A941" s="68"/>
      <c r="B941" s="68"/>
      <c r="C941" s="68"/>
      <c r="D941" s="68"/>
      <c r="E941" s="68"/>
      <c r="F941" s="68"/>
      <c r="G941" s="68" t="s">
        <v>20</v>
      </c>
      <c r="H941" s="68">
        <v>4</v>
      </c>
      <c r="I941" s="68">
        <v>4</v>
      </c>
      <c r="J941" s="68"/>
      <c r="K941" s="68"/>
      <c r="L941" s="312"/>
      <c r="M941" s="68"/>
    </row>
    <row r="942" s="215" customFormat="1" spans="1:13">
      <c r="A942" s="68"/>
      <c r="B942" s="68"/>
      <c r="C942" s="68"/>
      <c r="D942" s="68"/>
      <c r="E942" s="68"/>
      <c r="F942" s="68"/>
      <c r="G942" s="68" t="s">
        <v>558</v>
      </c>
      <c r="H942" s="68">
        <v>8</v>
      </c>
      <c r="I942" s="68">
        <v>16</v>
      </c>
      <c r="J942" s="68"/>
      <c r="K942" s="68"/>
      <c r="L942" s="312" t="str">
        <f t="shared" ref="L942:L945" si="85">IF(RIGHT(G942,5)="FRAME","扩展帧CAN消息","")</f>
        <v>扩展帧CAN消息</v>
      </c>
      <c r="M942" s="68"/>
    </row>
    <row r="943" s="215" customFormat="1" spans="1:13">
      <c r="A943" s="68"/>
      <c r="B943" s="68"/>
      <c r="C943" s="68"/>
      <c r="D943" s="68"/>
      <c r="E943" s="68"/>
      <c r="F943" s="68"/>
      <c r="G943" s="68" t="s">
        <v>559</v>
      </c>
      <c r="H943" s="68">
        <v>24</v>
      </c>
      <c r="I943" s="68">
        <v>16</v>
      </c>
      <c r="J943" s="68"/>
      <c r="K943" s="68"/>
      <c r="L943" s="312" t="str">
        <f t="shared" si="85"/>
        <v>扩展帧CAN消息</v>
      </c>
      <c r="M943" s="68"/>
    </row>
    <row r="944" s="215" customFormat="1" spans="1:13">
      <c r="A944" s="68"/>
      <c r="B944" s="68"/>
      <c r="C944" s="68"/>
      <c r="D944" s="68"/>
      <c r="E944" s="68"/>
      <c r="F944" s="68"/>
      <c r="G944" s="68" t="s">
        <v>560</v>
      </c>
      <c r="H944" s="68">
        <v>40</v>
      </c>
      <c r="I944" s="68">
        <v>16</v>
      </c>
      <c r="J944" s="68"/>
      <c r="K944" s="68"/>
      <c r="L944" s="312" t="str">
        <f t="shared" si="85"/>
        <v>扩展帧CAN消息</v>
      </c>
      <c r="M944" s="68"/>
    </row>
    <row r="945" s="215" customFormat="1" spans="1:13">
      <c r="A945" s="68"/>
      <c r="B945" s="68"/>
      <c r="C945" s="68"/>
      <c r="D945" s="68"/>
      <c r="E945" s="68"/>
      <c r="F945" s="68"/>
      <c r="G945" s="68" t="s">
        <v>561</v>
      </c>
      <c r="H945" s="68">
        <v>56</v>
      </c>
      <c r="I945" s="68">
        <v>16</v>
      </c>
      <c r="J945" s="68"/>
      <c r="K945" s="68"/>
      <c r="L945" s="312" t="str">
        <f t="shared" si="85"/>
        <v>扩展帧CAN消息</v>
      </c>
      <c r="M945" s="68"/>
    </row>
    <row r="946" s="215" customFormat="1" spans="1:13">
      <c r="A946" s="68"/>
      <c r="B946" s="68"/>
      <c r="C946" s="68"/>
      <c r="D946" s="68"/>
      <c r="E946" s="68"/>
      <c r="F946" s="68"/>
      <c r="G946" s="68" t="s">
        <v>20</v>
      </c>
      <c r="H946" s="68">
        <v>72</v>
      </c>
      <c r="I946" s="68">
        <v>4</v>
      </c>
      <c r="J946" s="68"/>
      <c r="K946" s="68"/>
      <c r="L946" s="312"/>
      <c r="M946" s="68"/>
    </row>
    <row r="947" s="215" customFormat="1" spans="1:13">
      <c r="A947" s="68"/>
      <c r="B947" s="68"/>
      <c r="C947" s="68"/>
      <c r="D947" s="68"/>
      <c r="E947" s="68"/>
      <c r="F947" s="68"/>
      <c r="G947" s="68" t="s">
        <v>562</v>
      </c>
      <c r="H947" s="68">
        <v>76</v>
      </c>
      <c r="I947" s="68">
        <v>16</v>
      </c>
      <c r="J947" s="68"/>
      <c r="K947" s="68"/>
      <c r="L947" s="312" t="str">
        <f t="shared" ref="L947:L950" si="86">IF(RIGHT(G947,5)="FRAME","扩展帧CAN消息","")</f>
        <v>扩展帧CAN消息</v>
      </c>
      <c r="M947" s="68"/>
    </row>
    <row r="948" s="215" customFormat="1" spans="1:13">
      <c r="A948" s="68"/>
      <c r="B948" s="68"/>
      <c r="C948" s="68"/>
      <c r="D948" s="68"/>
      <c r="E948" s="68"/>
      <c r="F948" s="68"/>
      <c r="G948" s="68" t="s">
        <v>563</v>
      </c>
      <c r="H948" s="68">
        <v>92</v>
      </c>
      <c r="I948" s="68">
        <v>16</v>
      </c>
      <c r="J948" s="68"/>
      <c r="K948" s="68"/>
      <c r="L948" s="312" t="str">
        <f t="shared" si="86"/>
        <v>扩展帧CAN消息</v>
      </c>
      <c r="M948" s="68"/>
    </row>
    <row r="949" s="215" customFormat="1" spans="1:13">
      <c r="A949" s="68"/>
      <c r="B949" s="68"/>
      <c r="C949" s="68"/>
      <c r="D949" s="68"/>
      <c r="E949" s="68"/>
      <c r="F949" s="68"/>
      <c r="G949" s="68" t="s">
        <v>564</v>
      </c>
      <c r="H949" s="68">
        <v>108</v>
      </c>
      <c r="I949" s="68">
        <v>16</v>
      </c>
      <c r="J949" s="68"/>
      <c r="K949" s="68"/>
      <c r="L949" s="312" t="str">
        <f t="shared" si="86"/>
        <v>扩展帧CAN消息</v>
      </c>
      <c r="M949" s="68"/>
    </row>
    <row r="950" s="215" customFormat="1" spans="1:13">
      <c r="A950" s="68"/>
      <c r="B950" s="68"/>
      <c r="C950" s="68"/>
      <c r="D950" s="68"/>
      <c r="E950" s="68"/>
      <c r="F950" s="68"/>
      <c r="G950" s="68" t="s">
        <v>565</v>
      </c>
      <c r="H950" s="68">
        <v>124</v>
      </c>
      <c r="I950" s="68">
        <v>16</v>
      </c>
      <c r="J950" s="68"/>
      <c r="K950" s="68"/>
      <c r="L950" s="312" t="str">
        <f t="shared" si="86"/>
        <v>扩展帧CAN消息</v>
      </c>
      <c r="M950" s="68"/>
    </row>
    <row r="951" s="215" customFormat="1" spans="1:13">
      <c r="A951" s="68"/>
      <c r="B951" s="68"/>
      <c r="C951" s="68"/>
      <c r="D951" s="68"/>
      <c r="E951" s="68"/>
      <c r="F951" s="68"/>
      <c r="G951" s="68" t="s">
        <v>20</v>
      </c>
      <c r="H951" s="68">
        <v>140</v>
      </c>
      <c r="I951" s="68">
        <v>4</v>
      </c>
      <c r="J951" s="68"/>
      <c r="K951" s="68"/>
      <c r="L951" s="312"/>
      <c r="M951" s="68"/>
    </row>
    <row r="952" s="215" customFormat="1" spans="1:13">
      <c r="A952" s="68"/>
      <c r="B952" s="68"/>
      <c r="C952" s="68"/>
      <c r="D952" s="68"/>
      <c r="E952" s="68"/>
      <c r="F952" s="68"/>
      <c r="G952" s="68" t="s">
        <v>566</v>
      </c>
      <c r="H952" s="68">
        <v>144</v>
      </c>
      <c r="I952" s="68">
        <v>16</v>
      </c>
      <c r="J952" s="68"/>
      <c r="K952" s="68"/>
      <c r="L952" s="312" t="str">
        <f t="shared" ref="L952:L955" si="87">IF(RIGHT(G952,5)="FRAME","扩展帧CAN消息","")</f>
        <v>扩展帧CAN消息</v>
      </c>
      <c r="M952" s="68"/>
    </row>
    <row r="953" s="215" customFormat="1" spans="1:13">
      <c r="A953" s="68"/>
      <c r="B953" s="68"/>
      <c r="C953" s="68"/>
      <c r="D953" s="68"/>
      <c r="E953" s="68"/>
      <c r="F953" s="68"/>
      <c r="G953" s="68" t="s">
        <v>567</v>
      </c>
      <c r="H953" s="68">
        <v>160</v>
      </c>
      <c r="I953" s="68">
        <v>16</v>
      </c>
      <c r="J953" s="68"/>
      <c r="K953" s="68"/>
      <c r="L953" s="312" t="str">
        <f t="shared" si="87"/>
        <v>扩展帧CAN消息</v>
      </c>
      <c r="M953" s="68"/>
    </row>
    <row r="954" s="215" customFormat="1" spans="1:13">
      <c r="A954" s="68"/>
      <c r="B954" s="68"/>
      <c r="C954" s="68"/>
      <c r="D954" s="68"/>
      <c r="E954" s="68"/>
      <c r="F954" s="68"/>
      <c r="G954" s="68" t="s">
        <v>568</v>
      </c>
      <c r="H954" s="68">
        <v>176</v>
      </c>
      <c r="I954" s="68">
        <v>16</v>
      </c>
      <c r="J954" s="68"/>
      <c r="K954" s="68"/>
      <c r="L954" s="312" t="str">
        <f t="shared" si="87"/>
        <v>扩展帧CAN消息</v>
      </c>
      <c r="M954" s="68"/>
    </row>
    <row r="955" s="215" customFormat="1" spans="1:13">
      <c r="A955" s="68"/>
      <c r="B955" s="68"/>
      <c r="C955" s="68"/>
      <c r="D955" s="68"/>
      <c r="E955" s="68"/>
      <c r="F955" s="68"/>
      <c r="G955" s="68" t="s">
        <v>569</v>
      </c>
      <c r="H955" s="68">
        <v>192</v>
      </c>
      <c r="I955" s="68">
        <v>16</v>
      </c>
      <c r="J955" s="68"/>
      <c r="K955" s="68"/>
      <c r="L955" s="312" t="str">
        <f t="shared" si="87"/>
        <v>扩展帧CAN消息</v>
      </c>
      <c r="M955" s="68"/>
    </row>
    <row r="956" s="215" customFormat="1" spans="1:13">
      <c r="A956" s="68"/>
      <c r="B956" s="68"/>
      <c r="C956" s="68"/>
      <c r="D956" s="68"/>
      <c r="E956" s="68"/>
      <c r="F956" s="68"/>
      <c r="G956" s="68" t="s">
        <v>20</v>
      </c>
      <c r="H956" s="68">
        <v>208</v>
      </c>
      <c r="I956" s="68">
        <v>4</v>
      </c>
      <c r="J956" s="68"/>
      <c r="K956" s="68"/>
      <c r="L956" s="312"/>
      <c r="M956" s="68"/>
    </row>
    <row r="957" s="215" customFormat="1" spans="1:13">
      <c r="A957" s="68"/>
      <c r="B957" s="68"/>
      <c r="C957" s="68"/>
      <c r="D957" s="68"/>
      <c r="E957" s="68"/>
      <c r="F957" s="68"/>
      <c r="G957" s="68" t="s">
        <v>570</v>
      </c>
      <c r="H957" s="68">
        <v>212</v>
      </c>
      <c r="I957" s="68">
        <v>16</v>
      </c>
      <c r="J957" s="68"/>
      <c r="K957" s="68"/>
      <c r="L957" s="312" t="str">
        <f t="shared" ref="L957:L960" si="88">IF(RIGHT(G957,5)="FRAME","扩展帧CAN消息","")</f>
        <v>扩展帧CAN消息</v>
      </c>
      <c r="M957" s="68"/>
    </row>
    <row r="958" s="215" customFormat="1" spans="1:13">
      <c r="A958" s="68"/>
      <c r="B958" s="68"/>
      <c r="C958" s="68"/>
      <c r="D958" s="68"/>
      <c r="E958" s="68"/>
      <c r="F958" s="68"/>
      <c r="G958" s="68" t="s">
        <v>571</v>
      </c>
      <c r="H958" s="68">
        <v>228</v>
      </c>
      <c r="I958" s="68">
        <v>16</v>
      </c>
      <c r="J958" s="68"/>
      <c r="K958" s="68"/>
      <c r="L958" s="312" t="str">
        <f t="shared" si="88"/>
        <v>扩展帧CAN消息</v>
      </c>
      <c r="M958" s="68"/>
    </row>
    <row r="959" s="215" customFormat="1" spans="1:13">
      <c r="A959" s="68"/>
      <c r="B959" s="68"/>
      <c r="C959" s="68"/>
      <c r="D959" s="68"/>
      <c r="E959" s="68"/>
      <c r="F959" s="68"/>
      <c r="G959" s="68" t="s">
        <v>572</v>
      </c>
      <c r="H959" s="68">
        <v>244</v>
      </c>
      <c r="I959" s="68">
        <v>16</v>
      </c>
      <c r="J959" s="68"/>
      <c r="K959" s="68"/>
      <c r="L959" s="312" t="str">
        <f t="shared" si="88"/>
        <v>扩展帧CAN消息</v>
      </c>
      <c r="M959" s="68"/>
    </row>
    <row r="960" s="215" customFormat="1" spans="1:13">
      <c r="A960" s="68"/>
      <c r="B960" s="68"/>
      <c r="C960" s="68"/>
      <c r="D960" s="68"/>
      <c r="E960" s="68"/>
      <c r="F960" s="68"/>
      <c r="G960" s="68" t="s">
        <v>573</v>
      </c>
      <c r="H960" s="68">
        <v>260</v>
      </c>
      <c r="I960" s="68">
        <v>16</v>
      </c>
      <c r="J960" s="68"/>
      <c r="K960" s="68"/>
      <c r="L960" s="312" t="str">
        <f t="shared" si="88"/>
        <v>扩展帧CAN消息</v>
      </c>
      <c r="M960" s="68"/>
    </row>
    <row r="961" s="215" customFormat="1" spans="1:13">
      <c r="A961" s="68"/>
      <c r="B961" s="68"/>
      <c r="C961" s="68"/>
      <c r="D961" s="68"/>
      <c r="E961" s="68"/>
      <c r="F961" s="68"/>
      <c r="G961" s="68" t="s">
        <v>20</v>
      </c>
      <c r="H961" s="68">
        <v>276</v>
      </c>
      <c r="I961" s="68">
        <v>4</v>
      </c>
      <c r="J961" s="68"/>
      <c r="K961" s="68"/>
      <c r="L961" s="312"/>
      <c r="M961" s="68"/>
    </row>
    <row r="962" s="215" customFormat="1" spans="1:13">
      <c r="A962" s="68"/>
      <c r="B962" s="68"/>
      <c r="C962" s="68"/>
      <c r="D962" s="68"/>
      <c r="E962" s="68"/>
      <c r="F962" s="68"/>
      <c r="G962" s="68" t="s">
        <v>574</v>
      </c>
      <c r="H962" s="68">
        <v>280</v>
      </c>
      <c r="I962" s="68">
        <v>16</v>
      </c>
      <c r="J962" s="68"/>
      <c r="K962" s="68"/>
      <c r="L962" s="312" t="str">
        <f t="shared" ref="L962:L965" si="89">IF(RIGHT(G962,5)="FRAME","扩展帧CAN消息","")</f>
        <v>扩展帧CAN消息</v>
      </c>
      <c r="M962" s="68"/>
    </row>
    <row r="963" s="215" customFormat="1" spans="1:13">
      <c r="A963" s="68"/>
      <c r="B963" s="68"/>
      <c r="C963" s="68"/>
      <c r="D963" s="68"/>
      <c r="E963" s="68"/>
      <c r="F963" s="68"/>
      <c r="G963" s="68" t="s">
        <v>575</v>
      </c>
      <c r="H963" s="68">
        <v>296</v>
      </c>
      <c r="I963" s="68">
        <v>16</v>
      </c>
      <c r="J963" s="68"/>
      <c r="K963" s="68"/>
      <c r="L963" s="312" t="str">
        <f t="shared" si="89"/>
        <v>扩展帧CAN消息</v>
      </c>
      <c r="M963" s="68"/>
    </row>
    <row r="964" s="215" customFormat="1" spans="1:13">
      <c r="A964" s="68"/>
      <c r="B964" s="68"/>
      <c r="C964" s="68"/>
      <c r="D964" s="68"/>
      <c r="E964" s="68"/>
      <c r="F964" s="68"/>
      <c r="G964" s="68" t="s">
        <v>576</v>
      </c>
      <c r="H964" s="68">
        <v>312</v>
      </c>
      <c r="I964" s="68">
        <v>16</v>
      </c>
      <c r="J964" s="68"/>
      <c r="K964" s="68"/>
      <c r="L964" s="312" t="str">
        <f t="shared" si="89"/>
        <v>扩展帧CAN消息</v>
      </c>
      <c r="M964" s="68"/>
    </row>
    <row r="965" s="215" customFormat="1" spans="1:13">
      <c r="A965" s="68"/>
      <c r="B965" s="68"/>
      <c r="C965" s="68"/>
      <c r="D965" s="68"/>
      <c r="E965" s="68"/>
      <c r="F965" s="68"/>
      <c r="G965" s="68" t="s">
        <v>577</v>
      </c>
      <c r="H965" s="68">
        <v>328</v>
      </c>
      <c r="I965" s="68">
        <v>16</v>
      </c>
      <c r="J965" s="68"/>
      <c r="K965" s="68"/>
      <c r="L965" s="312" t="str">
        <f t="shared" si="89"/>
        <v>扩展帧CAN消息</v>
      </c>
      <c r="M965" s="68"/>
    </row>
    <row r="966" s="215" customFormat="1" spans="1:13">
      <c r="A966" s="68"/>
      <c r="B966" s="68"/>
      <c r="C966" s="68"/>
      <c r="D966" s="68"/>
      <c r="E966" s="68"/>
      <c r="F966" s="68"/>
      <c r="G966" s="68" t="s">
        <v>20</v>
      </c>
      <c r="H966" s="68">
        <v>344</v>
      </c>
      <c r="I966" s="68">
        <v>4</v>
      </c>
      <c r="J966" s="68"/>
      <c r="K966" s="68"/>
      <c r="L966" s="312"/>
      <c r="M966" s="68"/>
    </row>
    <row r="967" s="215" customFormat="1" spans="1:13">
      <c r="A967" s="68"/>
      <c r="B967" s="68"/>
      <c r="C967" s="68"/>
      <c r="D967" s="68"/>
      <c r="E967" s="68"/>
      <c r="F967" s="68"/>
      <c r="G967" s="68" t="s">
        <v>578</v>
      </c>
      <c r="H967" s="68">
        <v>348</v>
      </c>
      <c r="I967" s="68">
        <v>16</v>
      </c>
      <c r="J967" s="68"/>
      <c r="K967" s="68"/>
      <c r="L967" s="312" t="str">
        <f t="shared" ref="L967:L970" si="90">IF(RIGHT(G967,5)="FRAME","扩展帧CAN消息","")</f>
        <v>扩展帧CAN消息</v>
      </c>
      <c r="M967" s="68"/>
    </row>
    <row r="968" s="215" customFormat="1" spans="1:13">
      <c r="A968" s="68"/>
      <c r="B968" s="68"/>
      <c r="C968" s="68"/>
      <c r="D968" s="68"/>
      <c r="E968" s="68"/>
      <c r="F968" s="68"/>
      <c r="G968" s="68" t="s">
        <v>579</v>
      </c>
      <c r="H968" s="68">
        <v>364</v>
      </c>
      <c r="I968" s="68">
        <v>16</v>
      </c>
      <c r="J968" s="68"/>
      <c r="K968" s="68"/>
      <c r="L968" s="312" t="str">
        <f t="shared" si="90"/>
        <v>扩展帧CAN消息</v>
      </c>
      <c r="M968" s="68"/>
    </row>
    <row r="969" s="215" customFormat="1" spans="1:13">
      <c r="A969" s="68"/>
      <c r="B969" s="68"/>
      <c r="C969" s="68"/>
      <c r="D969" s="68"/>
      <c r="E969" s="68"/>
      <c r="F969" s="68"/>
      <c r="G969" s="68" t="s">
        <v>580</v>
      </c>
      <c r="H969" s="68">
        <v>380</v>
      </c>
      <c r="I969" s="68">
        <v>16</v>
      </c>
      <c r="J969" s="68"/>
      <c r="K969" s="68"/>
      <c r="L969" s="312" t="str">
        <f t="shared" si="90"/>
        <v>扩展帧CAN消息</v>
      </c>
      <c r="M969" s="68"/>
    </row>
    <row r="970" s="215" customFormat="1" spans="1:13">
      <c r="A970" s="68"/>
      <c r="B970" s="68"/>
      <c r="C970" s="68"/>
      <c r="D970" s="68"/>
      <c r="E970" s="68"/>
      <c r="F970" s="68"/>
      <c r="G970" s="68" t="s">
        <v>581</v>
      </c>
      <c r="H970" s="68">
        <v>396</v>
      </c>
      <c r="I970" s="68">
        <v>16</v>
      </c>
      <c r="J970" s="68"/>
      <c r="K970" s="68"/>
      <c r="L970" s="312" t="str">
        <f t="shared" si="90"/>
        <v>扩展帧CAN消息</v>
      </c>
      <c r="M970" s="68"/>
    </row>
    <row r="971" s="215" customFormat="1" spans="1:13">
      <c r="A971" s="68"/>
      <c r="B971" s="68"/>
      <c r="C971" s="68"/>
      <c r="D971" s="68"/>
      <c r="E971" s="68"/>
      <c r="F971" s="68"/>
      <c r="G971" s="68" t="s">
        <v>20</v>
      </c>
      <c r="H971" s="68">
        <v>412</v>
      </c>
      <c r="I971" s="68">
        <v>4</v>
      </c>
      <c r="J971" s="68"/>
      <c r="K971" s="68"/>
      <c r="L971" s="312"/>
      <c r="M971" s="68"/>
    </row>
    <row r="972" s="215" customFormat="1" spans="1:13">
      <c r="A972" s="68"/>
      <c r="B972" s="68"/>
      <c r="C972" s="68"/>
      <c r="D972" s="68"/>
      <c r="E972" s="68"/>
      <c r="F972" s="68"/>
      <c r="G972" s="68" t="s">
        <v>582</v>
      </c>
      <c r="H972" s="68">
        <v>416</v>
      </c>
      <c r="I972" s="68">
        <v>16</v>
      </c>
      <c r="J972" s="68"/>
      <c r="K972" s="68"/>
      <c r="L972" s="312" t="str">
        <f t="shared" ref="L972:L975" si="91">IF(RIGHT(G972,5)="FRAME","扩展帧CAN消息","")</f>
        <v>扩展帧CAN消息</v>
      </c>
      <c r="M972" s="68"/>
    </row>
    <row r="973" s="215" customFormat="1" spans="1:13">
      <c r="A973" s="68"/>
      <c r="B973" s="68"/>
      <c r="C973" s="68"/>
      <c r="D973" s="68"/>
      <c r="E973" s="68"/>
      <c r="F973" s="68"/>
      <c r="G973" s="68" t="s">
        <v>583</v>
      </c>
      <c r="H973" s="68">
        <v>432</v>
      </c>
      <c r="I973" s="68">
        <v>16</v>
      </c>
      <c r="J973" s="68"/>
      <c r="K973" s="68"/>
      <c r="L973" s="312" t="str">
        <f t="shared" si="91"/>
        <v>扩展帧CAN消息</v>
      </c>
      <c r="M973" s="68"/>
    </row>
    <row r="974" s="215" customFormat="1" spans="1:13">
      <c r="A974" s="68"/>
      <c r="B974" s="68"/>
      <c r="C974" s="68"/>
      <c r="D974" s="68"/>
      <c r="E974" s="68"/>
      <c r="F974" s="68"/>
      <c r="G974" s="68" t="s">
        <v>584</v>
      </c>
      <c r="H974" s="68">
        <v>448</v>
      </c>
      <c r="I974" s="68">
        <v>16</v>
      </c>
      <c r="J974" s="68"/>
      <c r="K974" s="68"/>
      <c r="L974" s="312" t="str">
        <f t="shared" si="91"/>
        <v>扩展帧CAN消息</v>
      </c>
      <c r="M974" s="68"/>
    </row>
    <row r="975" s="215" customFormat="1" spans="1:13">
      <c r="A975" s="68"/>
      <c r="B975" s="68"/>
      <c r="C975" s="68"/>
      <c r="D975" s="68"/>
      <c r="E975" s="68"/>
      <c r="F975" s="68"/>
      <c r="G975" s="68" t="s">
        <v>585</v>
      </c>
      <c r="H975" s="68">
        <v>464</v>
      </c>
      <c r="I975" s="68">
        <v>16</v>
      </c>
      <c r="J975" s="68"/>
      <c r="K975" s="68"/>
      <c r="L975" s="312" t="str">
        <f t="shared" si="91"/>
        <v>扩展帧CAN消息</v>
      </c>
      <c r="M975" s="68"/>
    </row>
    <row r="976" s="215" customFormat="1" spans="1:13">
      <c r="A976" s="68"/>
      <c r="B976" s="68"/>
      <c r="C976" s="68"/>
      <c r="D976" s="68"/>
      <c r="E976" s="68"/>
      <c r="F976" s="68"/>
      <c r="G976" s="68" t="s">
        <v>20</v>
      </c>
      <c r="H976" s="68">
        <v>480</v>
      </c>
      <c r="I976" s="68">
        <v>4</v>
      </c>
      <c r="J976" s="68"/>
      <c r="K976" s="68"/>
      <c r="L976" s="312"/>
      <c r="M976" s="68"/>
    </row>
    <row r="977" s="215" customFormat="1" spans="1:13">
      <c r="A977" s="68"/>
      <c r="B977" s="68"/>
      <c r="C977" s="68"/>
      <c r="D977" s="68"/>
      <c r="E977" s="68"/>
      <c r="F977" s="68"/>
      <c r="G977" s="68" t="s">
        <v>586</v>
      </c>
      <c r="H977" s="68">
        <v>484</v>
      </c>
      <c r="I977" s="68">
        <v>16</v>
      </c>
      <c r="J977" s="68"/>
      <c r="K977" s="68"/>
      <c r="L977" s="312" t="str">
        <f t="shared" ref="L977:L980" si="92">IF(RIGHT(G977,5)="FRAME","扩展帧CAN消息","")</f>
        <v>扩展帧CAN消息</v>
      </c>
      <c r="M977" s="68"/>
    </row>
    <row r="978" s="215" customFormat="1" spans="1:13">
      <c r="A978" s="68"/>
      <c r="B978" s="68"/>
      <c r="C978" s="68"/>
      <c r="D978" s="68"/>
      <c r="E978" s="68"/>
      <c r="F978" s="68"/>
      <c r="G978" s="68" t="s">
        <v>587</v>
      </c>
      <c r="H978" s="68">
        <v>500</v>
      </c>
      <c r="I978" s="68">
        <v>16</v>
      </c>
      <c r="J978" s="68"/>
      <c r="K978" s="68"/>
      <c r="L978" s="312" t="str">
        <f t="shared" si="92"/>
        <v>扩展帧CAN消息</v>
      </c>
      <c r="M978" s="68"/>
    </row>
    <row r="979" s="215" customFormat="1" spans="1:13">
      <c r="A979" s="68"/>
      <c r="B979" s="68"/>
      <c r="C979" s="68"/>
      <c r="D979" s="68"/>
      <c r="E979" s="68"/>
      <c r="F979" s="68"/>
      <c r="G979" s="68" t="s">
        <v>588</v>
      </c>
      <c r="H979" s="68">
        <v>516</v>
      </c>
      <c r="I979" s="68">
        <v>16</v>
      </c>
      <c r="J979" s="68"/>
      <c r="K979" s="68"/>
      <c r="L979" s="312" t="str">
        <f t="shared" si="92"/>
        <v>扩展帧CAN消息</v>
      </c>
      <c r="M979" s="68"/>
    </row>
    <row r="980" s="215" customFormat="1" spans="1:13">
      <c r="A980" s="68"/>
      <c r="B980" s="68"/>
      <c r="C980" s="68"/>
      <c r="D980" s="68"/>
      <c r="E980" s="68"/>
      <c r="F980" s="68"/>
      <c r="G980" s="68" t="s">
        <v>589</v>
      </c>
      <c r="H980" s="68">
        <v>532</v>
      </c>
      <c r="I980" s="68">
        <v>16</v>
      </c>
      <c r="J980" s="68"/>
      <c r="K980" s="68"/>
      <c r="L980" s="312" t="str">
        <f t="shared" si="92"/>
        <v>扩展帧CAN消息</v>
      </c>
      <c r="M980" s="68"/>
    </row>
    <row r="981" s="215" customFormat="1" spans="1:13">
      <c r="A981" s="68"/>
      <c r="B981" s="68"/>
      <c r="C981" s="68"/>
      <c r="D981" s="68"/>
      <c r="E981" s="68"/>
      <c r="F981" s="68"/>
      <c r="G981" s="68" t="s">
        <v>20</v>
      </c>
      <c r="H981" s="68">
        <v>548</v>
      </c>
      <c r="I981" s="68">
        <v>4</v>
      </c>
      <c r="J981" s="68"/>
      <c r="K981" s="68"/>
      <c r="L981" s="68" t="s">
        <v>376</v>
      </c>
      <c r="M981" s="68"/>
    </row>
    <row r="982" s="215" customFormat="1" spans="1:13">
      <c r="A982" s="68"/>
      <c r="B982" s="68"/>
      <c r="C982" s="68"/>
      <c r="D982" s="68"/>
      <c r="E982" s="68"/>
      <c r="F982" s="68"/>
      <c r="G982" s="68" t="s">
        <v>590</v>
      </c>
      <c r="H982" s="68">
        <v>552</v>
      </c>
      <c r="I982" s="68">
        <v>16</v>
      </c>
      <c r="J982" s="68"/>
      <c r="K982" s="68"/>
      <c r="L982" s="312" t="str">
        <f t="shared" ref="L982:L985" si="93">IF(RIGHT(G982,5)="FRAME","扩展帧CAN消息","")</f>
        <v>扩展帧CAN消息</v>
      </c>
      <c r="M982" s="68"/>
    </row>
    <row r="983" s="215" customFormat="1" spans="1:13">
      <c r="A983" s="68"/>
      <c r="B983" s="68"/>
      <c r="C983" s="68"/>
      <c r="D983" s="68"/>
      <c r="E983" s="68"/>
      <c r="F983" s="68"/>
      <c r="G983" s="68" t="s">
        <v>591</v>
      </c>
      <c r="H983" s="68">
        <v>568</v>
      </c>
      <c r="I983" s="68">
        <v>16</v>
      </c>
      <c r="J983" s="68"/>
      <c r="K983" s="68"/>
      <c r="L983" s="312" t="str">
        <f t="shared" si="93"/>
        <v>扩展帧CAN消息</v>
      </c>
      <c r="M983" s="68"/>
    </row>
    <row r="984" s="215" customFormat="1" spans="1:13">
      <c r="A984" s="68"/>
      <c r="B984" s="68"/>
      <c r="C984" s="68"/>
      <c r="D984" s="68"/>
      <c r="E984" s="68"/>
      <c r="F984" s="68"/>
      <c r="G984" s="68" t="s">
        <v>592</v>
      </c>
      <c r="H984" s="68">
        <v>584</v>
      </c>
      <c r="I984" s="68">
        <v>16</v>
      </c>
      <c r="J984" s="68"/>
      <c r="K984" s="68"/>
      <c r="L984" s="312" t="str">
        <f t="shared" si="93"/>
        <v>扩展帧CAN消息</v>
      </c>
      <c r="M984" s="68"/>
    </row>
    <row r="985" s="215" customFormat="1" spans="1:13">
      <c r="A985" s="68"/>
      <c r="B985" s="68"/>
      <c r="C985" s="68"/>
      <c r="D985" s="68"/>
      <c r="E985" s="68"/>
      <c r="F985" s="68"/>
      <c r="G985" s="68" t="s">
        <v>593</v>
      </c>
      <c r="H985" s="68">
        <v>600</v>
      </c>
      <c r="I985" s="68">
        <v>16</v>
      </c>
      <c r="J985" s="68"/>
      <c r="K985" s="68"/>
      <c r="L985" s="312" t="str">
        <f t="shared" si="93"/>
        <v>扩展帧CAN消息</v>
      </c>
      <c r="M985" s="68"/>
    </row>
    <row r="986" s="215" customFormat="1" spans="1:13">
      <c r="A986" s="68"/>
      <c r="B986" s="68"/>
      <c r="C986" s="68"/>
      <c r="D986" s="68"/>
      <c r="E986" s="68"/>
      <c r="F986" s="68"/>
      <c r="G986" s="68" t="s">
        <v>20</v>
      </c>
      <c r="H986" s="68">
        <v>616</v>
      </c>
      <c r="I986" s="68">
        <v>4</v>
      </c>
      <c r="J986" s="68"/>
      <c r="K986" s="68"/>
      <c r="L986" s="312"/>
      <c r="M986" s="68"/>
    </row>
    <row r="987" s="215" customFormat="1" spans="1:13">
      <c r="A987" s="68"/>
      <c r="B987" s="68"/>
      <c r="C987" s="68"/>
      <c r="D987" s="68"/>
      <c r="E987" s="68"/>
      <c r="F987" s="68"/>
      <c r="G987" s="68" t="s">
        <v>594</v>
      </c>
      <c r="H987" s="68">
        <v>620</v>
      </c>
      <c r="I987" s="68">
        <v>16</v>
      </c>
      <c r="J987" s="68"/>
      <c r="K987" s="68"/>
      <c r="L987" s="312" t="str">
        <f t="shared" ref="L987:L990" si="94">IF(RIGHT(G987,5)="FRAME","扩展帧CAN消息","")</f>
        <v>扩展帧CAN消息</v>
      </c>
      <c r="M987" s="68"/>
    </row>
    <row r="988" s="215" customFormat="1" spans="1:13">
      <c r="A988" s="68"/>
      <c r="B988" s="68"/>
      <c r="C988" s="68"/>
      <c r="D988" s="68"/>
      <c r="E988" s="68"/>
      <c r="F988" s="68"/>
      <c r="G988" s="68" t="s">
        <v>595</v>
      </c>
      <c r="H988" s="68">
        <v>636</v>
      </c>
      <c r="I988" s="68">
        <v>16</v>
      </c>
      <c r="J988" s="68"/>
      <c r="K988" s="68"/>
      <c r="L988" s="312" t="str">
        <f t="shared" si="94"/>
        <v>扩展帧CAN消息</v>
      </c>
      <c r="M988" s="68"/>
    </row>
    <row r="989" s="215" customFormat="1" spans="1:13">
      <c r="A989" s="68"/>
      <c r="B989" s="68"/>
      <c r="C989" s="68"/>
      <c r="D989" s="68"/>
      <c r="E989" s="68"/>
      <c r="F989" s="68"/>
      <c r="G989" s="68" t="s">
        <v>596</v>
      </c>
      <c r="H989" s="68">
        <v>652</v>
      </c>
      <c r="I989" s="68">
        <v>16</v>
      </c>
      <c r="J989" s="68"/>
      <c r="K989" s="68"/>
      <c r="L989" s="312" t="str">
        <f t="shared" si="94"/>
        <v>扩展帧CAN消息</v>
      </c>
      <c r="M989" s="68"/>
    </row>
    <row r="990" s="215" customFormat="1" spans="1:13">
      <c r="A990" s="68"/>
      <c r="B990" s="68"/>
      <c r="C990" s="68"/>
      <c r="D990" s="68"/>
      <c r="E990" s="68"/>
      <c r="F990" s="68"/>
      <c r="G990" s="68" t="s">
        <v>597</v>
      </c>
      <c r="H990" s="68">
        <v>668</v>
      </c>
      <c r="I990" s="68">
        <v>16</v>
      </c>
      <c r="J990" s="68"/>
      <c r="K990" s="68"/>
      <c r="L990" s="312" t="str">
        <f t="shared" si="94"/>
        <v>扩展帧CAN消息</v>
      </c>
      <c r="M990" s="68"/>
    </row>
    <row r="991" s="215" customFormat="1" spans="1:13">
      <c r="A991" s="68"/>
      <c r="B991" s="68"/>
      <c r="C991" s="68"/>
      <c r="D991" s="68"/>
      <c r="E991" s="68"/>
      <c r="F991" s="68"/>
      <c r="G991" s="68" t="s">
        <v>20</v>
      </c>
      <c r="H991" s="68">
        <v>684</v>
      </c>
      <c r="I991" s="68">
        <v>4</v>
      </c>
      <c r="J991" s="68"/>
      <c r="K991" s="68"/>
      <c r="L991" s="312"/>
      <c r="M991" s="68"/>
    </row>
    <row r="992" s="215" customFormat="1" spans="1:13">
      <c r="A992" s="68"/>
      <c r="B992" s="68"/>
      <c r="C992" s="68"/>
      <c r="D992" s="68"/>
      <c r="E992" s="68"/>
      <c r="F992" s="68"/>
      <c r="G992" s="68" t="s">
        <v>598</v>
      </c>
      <c r="H992" s="68">
        <v>688</v>
      </c>
      <c r="I992" s="68">
        <v>16</v>
      </c>
      <c r="J992" s="68"/>
      <c r="K992" s="68"/>
      <c r="L992" s="312" t="str">
        <f t="shared" ref="L992:L995" si="95">IF(RIGHT(G992,5)="FRAME","扩展帧CAN消息","")</f>
        <v>扩展帧CAN消息</v>
      </c>
      <c r="M992" s="68"/>
    </row>
    <row r="993" s="215" customFormat="1" spans="1:13">
      <c r="A993" s="68"/>
      <c r="B993" s="68"/>
      <c r="C993" s="68"/>
      <c r="D993" s="68"/>
      <c r="E993" s="68"/>
      <c r="F993" s="68"/>
      <c r="G993" s="68" t="s">
        <v>599</v>
      </c>
      <c r="H993" s="68">
        <v>704</v>
      </c>
      <c r="I993" s="68">
        <v>16</v>
      </c>
      <c r="J993" s="68"/>
      <c r="K993" s="68"/>
      <c r="L993" s="312" t="str">
        <f t="shared" si="95"/>
        <v>扩展帧CAN消息</v>
      </c>
      <c r="M993" s="68"/>
    </row>
    <row r="994" s="215" customFormat="1" spans="1:13">
      <c r="A994" s="68"/>
      <c r="B994" s="68"/>
      <c r="C994" s="68"/>
      <c r="D994" s="68"/>
      <c r="E994" s="68"/>
      <c r="F994" s="68"/>
      <c r="G994" s="68" t="s">
        <v>600</v>
      </c>
      <c r="H994" s="68">
        <v>720</v>
      </c>
      <c r="I994" s="68">
        <v>16</v>
      </c>
      <c r="J994" s="68"/>
      <c r="K994" s="68"/>
      <c r="L994" s="312" t="str">
        <f t="shared" si="95"/>
        <v>扩展帧CAN消息</v>
      </c>
      <c r="M994" s="68"/>
    </row>
    <row r="995" s="215" customFormat="1" spans="1:13">
      <c r="A995" s="68"/>
      <c r="B995" s="68"/>
      <c r="C995" s="68"/>
      <c r="D995" s="68"/>
      <c r="E995" s="68"/>
      <c r="F995" s="68"/>
      <c r="G995" s="68" t="s">
        <v>601</v>
      </c>
      <c r="H995" s="68">
        <v>736</v>
      </c>
      <c r="I995" s="68">
        <v>16</v>
      </c>
      <c r="J995" s="68"/>
      <c r="K995" s="68"/>
      <c r="L995" s="312" t="str">
        <f t="shared" si="95"/>
        <v>扩展帧CAN消息</v>
      </c>
      <c r="M995" s="68"/>
    </row>
    <row r="996" s="215" customFormat="1" spans="1:13">
      <c r="A996" s="68"/>
      <c r="B996" s="68"/>
      <c r="C996" s="68"/>
      <c r="D996" s="68"/>
      <c r="E996" s="68"/>
      <c r="F996" s="68"/>
      <c r="G996" s="68" t="s">
        <v>20</v>
      </c>
      <c r="H996" s="68">
        <v>752</v>
      </c>
      <c r="I996" s="68">
        <v>4</v>
      </c>
      <c r="J996" s="68"/>
      <c r="K996" s="68"/>
      <c r="L996" s="68" t="s">
        <v>376</v>
      </c>
      <c r="M996" s="68"/>
    </row>
    <row r="997" s="215" customFormat="1" spans="1:13">
      <c r="A997" s="68"/>
      <c r="B997" s="68"/>
      <c r="C997" s="68"/>
      <c r="D997" s="68"/>
      <c r="E997" s="68"/>
      <c r="F997" s="68"/>
      <c r="G997" s="68" t="s">
        <v>602</v>
      </c>
      <c r="H997" s="68">
        <v>756</v>
      </c>
      <c r="I997" s="68">
        <v>16</v>
      </c>
      <c r="J997" s="68"/>
      <c r="K997" s="68"/>
      <c r="L997" s="312" t="str">
        <f t="shared" ref="L997:L1000" si="96">IF(RIGHT(G997,5)="FRAME","扩展帧CAN消息","")</f>
        <v>扩展帧CAN消息</v>
      </c>
      <c r="M997" s="68"/>
    </row>
    <row r="998" s="215" customFormat="1" spans="1:13">
      <c r="A998" s="68"/>
      <c r="B998" s="68"/>
      <c r="C998" s="68"/>
      <c r="D998" s="68"/>
      <c r="E998" s="68"/>
      <c r="F998" s="68"/>
      <c r="G998" s="68" t="s">
        <v>603</v>
      </c>
      <c r="H998" s="68">
        <v>772</v>
      </c>
      <c r="I998" s="68">
        <v>16</v>
      </c>
      <c r="J998" s="68"/>
      <c r="K998" s="68"/>
      <c r="L998" s="312" t="str">
        <f t="shared" si="96"/>
        <v>扩展帧CAN消息</v>
      </c>
      <c r="M998" s="68"/>
    </row>
    <row r="999" s="215" customFormat="1" spans="1:13">
      <c r="A999" s="68"/>
      <c r="B999" s="68"/>
      <c r="C999" s="68"/>
      <c r="D999" s="68"/>
      <c r="E999" s="68"/>
      <c r="F999" s="68"/>
      <c r="G999" s="68" t="s">
        <v>604</v>
      </c>
      <c r="H999" s="68">
        <v>788</v>
      </c>
      <c r="I999" s="68">
        <v>16</v>
      </c>
      <c r="J999" s="68"/>
      <c r="K999" s="68"/>
      <c r="L999" s="312" t="str">
        <f t="shared" si="96"/>
        <v>扩展帧CAN消息</v>
      </c>
      <c r="M999" s="68"/>
    </row>
    <row r="1000" s="215" customFormat="1" spans="1:13">
      <c r="A1000" s="68"/>
      <c r="B1000" s="68"/>
      <c r="C1000" s="68"/>
      <c r="D1000" s="68"/>
      <c r="E1000" s="68"/>
      <c r="F1000" s="68"/>
      <c r="G1000" s="68" t="s">
        <v>605</v>
      </c>
      <c r="H1000" s="68">
        <v>804</v>
      </c>
      <c r="I1000" s="68">
        <v>16</v>
      </c>
      <c r="J1000" s="68"/>
      <c r="K1000" s="68"/>
      <c r="L1000" s="312" t="str">
        <f t="shared" si="96"/>
        <v>扩展帧CAN消息</v>
      </c>
      <c r="M1000" s="68"/>
    </row>
    <row r="1001" s="215" customFormat="1" spans="1:13">
      <c r="A1001" s="68"/>
      <c r="B1001" s="68"/>
      <c r="C1001" s="68"/>
      <c r="D1001" s="68"/>
      <c r="E1001" s="68"/>
      <c r="F1001" s="68"/>
      <c r="G1001" s="68" t="s">
        <v>20</v>
      </c>
      <c r="H1001" s="68">
        <v>820</v>
      </c>
      <c r="I1001" s="68">
        <v>4</v>
      </c>
      <c r="J1001" s="68"/>
      <c r="K1001" s="68"/>
      <c r="L1001" s="312"/>
      <c r="M1001" s="68"/>
    </row>
    <row r="1002" s="215" customFormat="1" spans="1:13">
      <c r="A1002" s="68"/>
      <c r="B1002" s="68"/>
      <c r="C1002" s="68"/>
      <c r="D1002" s="68"/>
      <c r="E1002" s="68"/>
      <c r="F1002" s="68"/>
      <c r="G1002" s="68" t="s">
        <v>606</v>
      </c>
      <c r="H1002" s="68">
        <v>824</v>
      </c>
      <c r="I1002" s="68">
        <v>16</v>
      </c>
      <c r="J1002" s="68"/>
      <c r="K1002" s="68"/>
      <c r="L1002" s="312" t="str">
        <f t="shared" ref="L1002:L1005" si="97">IF(RIGHT(G1002,5)="FRAME","扩展帧CAN消息","")</f>
        <v>扩展帧CAN消息</v>
      </c>
      <c r="M1002" s="68"/>
    </row>
    <row r="1003" s="215" customFormat="1" spans="1:13">
      <c r="A1003" s="68"/>
      <c r="B1003" s="68"/>
      <c r="C1003" s="68"/>
      <c r="D1003" s="68"/>
      <c r="E1003" s="68"/>
      <c r="F1003" s="68"/>
      <c r="G1003" s="68" t="s">
        <v>607</v>
      </c>
      <c r="H1003" s="68">
        <v>840</v>
      </c>
      <c r="I1003" s="68">
        <v>16</v>
      </c>
      <c r="J1003" s="68"/>
      <c r="K1003" s="68"/>
      <c r="L1003" s="312" t="str">
        <f t="shared" si="97"/>
        <v>扩展帧CAN消息</v>
      </c>
      <c r="M1003" s="68"/>
    </row>
    <row r="1004" s="215" customFormat="1" spans="1:13">
      <c r="A1004" s="68"/>
      <c r="B1004" s="68"/>
      <c r="C1004" s="68"/>
      <c r="D1004" s="68"/>
      <c r="E1004" s="68"/>
      <c r="F1004" s="68"/>
      <c r="G1004" s="68" t="s">
        <v>608</v>
      </c>
      <c r="H1004" s="68">
        <v>856</v>
      </c>
      <c r="I1004" s="68">
        <v>16</v>
      </c>
      <c r="J1004" s="68"/>
      <c r="K1004" s="68"/>
      <c r="L1004" s="312" t="str">
        <f t="shared" si="97"/>
        <v>扩展帧CAN消息</v>
      </c>
      <c r="M1004" s="68"/>
    </row>
    <row r="1005" s="215" customFormat="1" spans="1:13">
      <c r="A1005" s="68"/>
      <c r="B1005" s="68"/>
      <c r="C1005" s="68"/>
      <c r="D1005" s="68"/>
      <c r="E1005" s="68"/>
      <c r="F1005" s="68"/>
      <c r="G1005" s="68" t="s">
        <v>609</v>
      </c>
      <c r="H1005" s="68">
        <v>872</v>
      </c>
      <c r="I1005" s="68">
        <v>16</v>
      </c>
      <c r="J1005" s="68"/>
      <c r="K1005" s="68"/>
      <c r="L1005" s="312" t="str">
        <f t="shared" si="97"/>
        <v>扩展帧CAN消息</v>
      </c>
      <c r="M1005" s="68"/>
    </row>
    <row r="1006" s="215" customFormat="1" spans="1:13">
      <c r="A1006" s="68"/>
      <c r="B1006" s="68"/>
      <c r="C1006" s="68"/>
      <c r="D1006" s="68"/>
      <c r="E1006" s="68"/>
      <c r="F1006" s="68"/>
      <c r="G1006" s="68" t="s">
        <v>20</v>
      </c>
      <c r="H1006" s="68">
        <v>888</v>
      </c>
      <c r="I1006" s="68">
        <v>4</v>
      </c>
      <c r="J1006" s="68"/>
      <c r="K1006" s="68"/>
      <c r="L1006" s="312"/>
      <c r="M1006" s="68"/>
    </row>
    <row r="1007" s="215" customFormat="1" spans="1:13">
      <c r="A1007" s="68"/>
      <c r="B1007" s="68"/>
      <c r="C1007" s="68"/>
      <c r="D1007" s="68"/>
      <c r="E1007" s="68"/>
      <c r="F1007" s="68"/>
      <c r="G1007" s="68" t="s">
        <v>610</v>
      </c>
      <c r="H1007" s="68">
        <v>892</v>
      </c>
      <c r="I1007" s="68">
        <v>16</v>
      </c>
      <c r="J1007" s="68"/>
      <c r="K1007" s="68"/>
      <c r="L1007" s="312" t="str">
        <f t="shared" ref="L1007:L1010" si="98">IF(RIGHT(G1007,5)="FRAME","扩展帧CAN消息","")</f>
        <v>扩展帧CAN消息</v>
      </c>
      <c r="M1007" s="68"/>
    </row>
    <row r="1008" s="215" customFormat="1" spans="1:13">
      <c r="A1008" s="68"/>
      <c r="B1008" s="68"/>
      <c r="C1008" s="68"/>
      <c r="D1008" s="68"/>
      <c r="E1008" s="68"/>
      <c r="F1008" s="68"/>
      <c r="G1008" s="68" t="s">
        <v>611</v>
      </c>
      <c r="H1008" s="68">
        <v>908</v>
      </c>
      <c r="I1008" s="68">
        <v>16</v>
      </c>
      <c r="J1008" s="68"/>
      <c r="K1008" s="68"/>
      <c r="L1008" s="312" t="str">
        <f t="shared" si="98"/>
        <v>扩展帧CAN消息</v>
      </c>
      <c r="M1008" s="68"/>
    </row>
    <row r="1009" s="215" customFormat="1" spans="1:13">
      <c r="A1009" s="68"/>
      <c r="B1009" s="68"/>
      <c r="C1009" s="68"/>
      <c r="D1009" s="68"/>
      <c r="E1009" s="68"/>
      <c r="F1009" s="68"/>
      <c r="G1009" s="68" t="s">
        <v>612</v>
      </c>
      <c r="H1009" s="68">
        <v>924</v>
      </c>
      <c r="I1009" s="68">
        <v>16</v>
      </c>
      <c r="J1009" s="68"/>
      <c r="K1009" s="68"/>
      <c r="L1009" s="312" t="str">
        <f t="shared" si="98"/>
        <v>扩展帧CAN消息</v>
      </c>
      <c r="M1009" s="68"/>
    </row>
    <row r="1010" s="215" customFormat="1" spans="1:13">
      <c r="A1010" s="68"/>
      <c r="B1010" s="68"/>
      <c r="C1010" s="68"/>
      <c r="D1010" s="68"/>
      <c r="E1010" s="68"/>
      <c r="F1010" s="68"/>
      <c r="G1010" s="68" t="s">
        <v>613</v>
      </c>
      <c r="H1010" s="68">
        <v>940</v>
      </c>
      <c r="I1010" s="68">
        <v>16</v>
      </c>
      <c r="J1010" s="68"/>
      <c r="K1010" s="68"/>
      <c r="L1010" s="312" t="str">
        <f t="shared" si="98"/>
        <v>扩展帧CAN消息</v>
      </c>
      <c r="M1010" s="68"/>
    </row>
    <row r="1011" s="215" customFormat="1" spans="1:13">
      <c r="A1011" s="68"/>
      <c r="B1011" s="68"/>
      <c r="C1011" s="68"/>
      <c r="D1011" s="68"/>
      <c r="E1011" s="68"/>
      <c r="F1011" s="68"/>
      <c r="G1011" s="68" t="s">
        <v>20</v>
      </c>
      <c r="H1011" s="68">
        <v>956</v>
      </c>
      <c r="I1011" s="68">
        <v>4</v>
      </c>
      <c r="J1011" s="68"/>
      <c r="K1011" s="68"/>
      <c r="L1011" s="68" t="s">
        <v>376</v>
      </c>
      <c r="M1011" s="68"/>
    </row>
    <row r="1012" s="215" customFormat="1" spans="1:13">
      <c r="A1012" s="68"/>
      <c r="B1012" s="68"/>
      <c r="C1012" s="68"/>
      <c r="D1012" s="68"/>
      <c r="E1012" s="68"/>
      <c r="F1012" s="68"/>
      <c r="G1012" s="68" t="s">
        <v>614</v>
      </c>
      <c r="H1012" s="68">
        <v>960</v>
      </c>
      <c r="I1012" s="68">
        <v>16</v>
      </c>
      <c r="J1012" s="68"/>
      <c r="K1012" s="68"/>
      <c r="L1012" s="312" t="str">
        <f t="shared" ref="L1012:L1015" si="99">IF(RIGHT(G1012,5)="FRAME","扩展帧CAN消息","")</f>
        <v>扩展帧CAN消息</v>
      </c>
      <c r="M1012" s="68"/>
    </row>
    <row r="1013" s="215" customFormat="1" spans="1:13">
      <c r="A1013" s="68"/>
      <c r="B1013" s="68"/>
      <c r="C1013" s="68"/>
      <c r="D1013" s="68"/>
      <c r="E1013" s="68"/>
      <c r="F1013" s="68"/>
      <c r="G1013" s="68" t="s">
        <v>615</v>
      </c>
      <c r="H1013" s="68">
        <v>976</v>
      </c>
      <c r="I1013" s="68">
        <v>16</v>
      </c>
      <c r="J1013" s="68"/>
      <c r="K1013" s="68"/>
      <c r="L1013" s="312" t="str">
        <f t="shared" si="99"/>
        <v>扩展帧CAN消息</v>
      </c>
      <c r="M1013" s="68"/>
    </row>
    <row r="1014" s="215" customFormat="1" spans="1:13">
      <c r="A1014" s="68"/>
      <c r="B1014" s="68"/>
      <c r="C1014" s="68"/>
      <c r="D1014" s="68"/>
      <c r="E1014" s="68"/>
      <c r="F1014" s="68"/>
      <c r="G1014" s="68" t="s">
        <v>616</v>
      </c>
      <c r="H1014" s="68">
        <v>992</v>
      </c>
      <c r="I1014" s="68">
        <v>16</v>
      </c>
      <c r="J1014" s="68"/>
      <c r="K1014" s="68"/>
      <c r="L1014" s="312" t="str">
        <f t="shared" si="99"/>
        <v>扩展帧CAN消息</v>
      </c>
      <c r="M1014" s="68"/>
    </row>
    <row r="1015" s="215" customFormat="1" spans="1:13">
      <c r="A1015" s="68"/>
      <c r="B1015" s="68"/>
      <c r="C1015" s="68"/>
      <c r="D1015" s="68"/>
      <c r="E1015" s="68"/>
      <c r="F1015" s="68"/>
      <c r="G1015" s="68" t="s">
        <v>617</v>
      </c>
      <c r="H1015" s="68">
        <v>1008</v>
      </c>
      <c r="I1015" s="68">
        <v>16</v>
      </c>
      <c r="J1015" s="68"/>
      <c r="K1015" s="68"/>
      <c r="L1015" s="312" t="str">
        <f t="shared" si="99"/>
        <v>扩展帧CAN消息</v>
      </c>
      <c r="M1015" s="68"/>
    </row>
    <row r="1016" s="215" customFormat="1" spans="1:13">
      <c r="A1016" s="68"/>
      <c r="B1016" s="68"/>
      <c r="C1016" s="68"/>
      <c r="D1016" s="68"/>
      <c r="E1016" s="68"/>
      <c r="F1016" s="68"/>
      <c r="G1016" s="68" t="s">
        <v>20</v>
      </c>
      <c r="H1016" s="68">
        <v>1024</v>
      </c>
      <c r="I1016" s="68">
        <v>4</v>
      </c>
      <c r="J1016" s="68"/>
      <c r="K1016" s="68"/>
      <c r="L1016" s="312"/>
      <c r="M1016" s="68"/>
    </row>
    <row r="1017" s="215" customFormat="1" spans="1:13">
      <c r="A1017" s="68"/>
      <c r="B1017" s="68"/>
      <c r="C1017" s="68"/>
      <c r="D1017" s="68"/>
      <c r="E1017" s="68"/>
      <c r="F1017" s="68"/>
      <c r="G1017" s="68" t="s">
        <v>618</v>
      </c>
      <c r="H1017" s="68">
        <v>1028</v>
      </c>
      <c r="I1017" s="68">
        <v>16</v>
      </c>
      <c r="J1017" s="68"/>
      <c r="K1017" s="68"/>
      <c r="L1017" s="312" t="str">
        <f t="shared" ref="L1017:L1020" si="100">IF(RIGHT(G1017,5)="FRAME","扩展帧CAN消息","")</f>
        <v>扩展帧CAN消息</v>
      </c>
      <c r="M1017" s="68"/>
    </row>
    <row r="1018" s="215" customFormat="1" spans="1:13">
      <c r="A1018" s="68"/>
      <c r="B1018" s="68"/>
      <c r="C1018" s="68"/>
      <c r="D1018" s="68"/>
      <c r="E1018" s="68"/>
      <c r="F1018" s="68"/>
      <c r="G1018" s="68" t="s">
        <v>619</v>
      </c>
      <c r="H1018" s="68">
        <v>1044</v>
      </c>
      <c r="I1018" s="68">
        <v>16</v>
      </c>
      <c r="J1018" s="68"/>
      <c r="K1018" s="68"/>
      <c r="L1018" s="312" t="str">
        <f t="shared" si="100"/>
        <v>扩展帧CAN消息</v>
      </c>
      <c r="M1018" s="68"/>
    </row>
    <row r="1019" s="215" customFormat="1" spans="1:13">
      <c r="A1019" s="68"/>
      <c r="B1019" s="68"/>
      <c r="C1019" s="68"/>
      <c r="D1019" s="68"/>
      <c r="E1019" s="68"/>
      <c r="F1019" s="68"/>
      <c r="G1019" s="68" t="s">
        <v>620</v>
      </c>
      <c r="H1019" s="68">
        <v>1060</v>
      </c>
      <c r="I1019" s="68">
        <v>16</v>
      </c>
      <c r="J1019" s="68"/>
      <c r="K1019" s="68"/>
      <c r="L1019" s="312" t="str">
        <f t="shared" si="100"/>
        <v>扩展帧CAN消息</v>
      </c>
      <c r="M1019" s="68"/>
    </row>
    <row r="1020" s="215" customFormat="1" spans="1:13">
      <c r="A1020" s="68"/>
      <c r="B1020" s="68"/>
      <c r="C1020" s="68"/>
      <c r="D1020" s="68"/>
      <c r="E1020" s="68"/>
      <c r="F1020" s="68"/>
      <c r="G1020" s="68" t="s">
        <v>621</v>
      </c>
      <c r="H1020" s="68">
        <v>1076</v>
      </c>
      <c r="I1020" s="68">
        <v>16</v>
      </c>
      <c r="J1020" s="68"/>
      <c r="K1020" s="68"/>
      <c r="L1020" s="312" t="str">
        <f t="shared" si="100"/>
        <v>扩展帧CAN消息</v>
      </c>
      <c r="M1020" s="68"/>
    </row>
    <row r="1021" s="215" customFormat="1" spans="1:13">
      <c r="A1021" s="68"/>
      <c r="B1021" s="68"/>
      <c r="C1021" s="68"/>
      <c r="D1021" s="68"/>
      <c r="E1021" s="68"/>
      <c r="F1021" s="68"/>
      <c r="G1021" s="68" t="s">
        <v>20</v>
      </c>
      <c r="H1021" s="68">
        <v>1092</v>
      </c>
      <c r="I1021" s="68">
        <v>4</v>
      </c>
      <c r="J1021" s="68"/>
      <c r="K1021" s="68"/>
      <c r="L1021" s="312"/>
      <c r="M1021" s="68"/>
    </row>
    <row r="1022" s="215" customFormat="1" spans="1:13">
      <c r="A1022" s="68"/>
      <c r="B1022" s="68"/>
      <c r="C1022" s="68"/>
      <c r="D1022" s="68"/>
      <c r="E1022" s="68"/>
      <c r="F1022" s="68"/>
      <c r="G1022" s="68" t="s">
        <v>622</v>
      </c>
      <c r="H1022" s="68">
        <v>1096</v>
      </c>
      <c r="I1022" s="68">
        <v>16</v>
      </c>
      <c r="J1022" s="68"/>
      <c r="K1022" s="68"/>
      <c r="L1022" s="312" t="str">
        <f t="shared" ref="L1022:L1028" si="101">IF(RIGHT(G1022,5)="FRAME","扩展帧CAN消息","")</f>
        <v>扩展帧CAN消息</v>
      </c>
      <c r="M1022" s="68"/>
    </row>
    <row r="1023" s="215" customFormat="1" spans="1:13">
      <c r="A1023" s="68" t="s">
        <v>410</v>
      </c>
      <c r="B1023" s="68" t="s">
        <v>623</v>
      </c>
      <c r="C1023" s="68" t="s">
        <v>213</v>
      </c>
      <c r="D1023" s="68" t="s">
        <v>317</v>
      </c>
      <c r="E1023" s="68">
        <v>7066</v>
      </c>
      <c r="F1023" s="68" t="s">
        <v>86</v>
      </c>
      <c r="G1023" s="68" t="s">
        <v>18</v>
      </c>
      <c r="H1023" s="68">
        <v>0</v>
      </c>
      <c r="I1023" s="68">
        <v>4</v>
      </c>
      <c r="J1023" s="70" t="s">
        <v>77</v>
      </c>
      <c r="K1023" s="70">
        <v>1000</v>
      </c>
      <c r="L1023" s="312"/>
      <c r="M1023" s="68">
        <v>1102201</v>
      </c>
    </row>
    <row r="1024" s="215" customFormat="1" spans="1:13">
      <c r="A1024" s="68"/>
      <c r="B1024" s="68"/>
      <c r="C1024" s="68"/>
      <c r="D1024" s="68"/>
      <c r="E1024" s="68"/>
      <c r="F1024" s="68"/>
      <c r="G1024" s="68" t="s">
        <v>20</v>
      </c>
      <c r="H1024" s="68">
        <v>4</v>
      </c>
      <c r="I1024" s="68">
        <v>4</v>
      </c>
      <c r="J1024" s="70"/>
      <c r="K1024" s="70"/>
      <c r="L1024" s="312"/>
      <c r="M1024" s="68"/>
    </row>
    <row r="1025" s="215" customFormat="1" spans="1:13">
      <c r="A1025" s="68"/>
      <c r="B1025" s="68"/>
      <c r="C1025" s="68"/>
      <c r="D1025" s="68"/>
      <c r="E1025" s="68"/>
      <c r="F1025" s="68"/>
      <c r="G1025" s="68" t="s">
        <v>624</v>
      </c>
      <c r="H1025" s="68">
        <f t="shared" ref="H1025:H1072" si="102">H1024+I1024</f>
        <v>8</v>
      </c>
      <c r="I1025" s="68">
        <v>16</v>
      </c>
      <c r="J1025" s="70"/>
      <c r="K1025" s="70"/>
      <c r="L1025" s="312" t="str">
        <f t="shared" si="101"/>
        <v>扩展帧CAN消息</v>
      </c>
      <c r="M1025" s="68"/>
    </row>
    <row r="1026" s="215" customFormat="1" spans="1:13">
      <c r="A1026" s="68"/>
      <c r="B1026" s="68"/>
      <c r="C1026" s="68"/>
      <c r="D1026" s="68"/>
      <c r="E1026" s="68"/>
      <c r="F1026" s="68"/>
      <c r="G1026" s="68" t="s">
        <v>625</v>
      </c>
      <c r="H1026" s="68">
        <f t="shared" si="102"/>
        <v>24</v>
      </c>
      <c r="I1026" s="68">
        <v>16</v>
      </c>
      <c r="J1026" s="70"/>
      <c r="K1026" s="70"/>
      <c r="L1026" s="312" t="str">
        <f t="shared" si="101"/>
        <v>扩展帧CAN消息</v>
      </c>
      <c r="M1026" s="68"/>
    </row>
    <row r="1027" s="215" customFormat="1" spans="1:13">
      <c r="A1027" s="68"/>
      <c r="B1027" s="68"/>
      <c r="C1027" s="68"/>
      <c r="D1027" s="68"/>
      <c r="E1027" s="68"/>
      <c r="F1027" s="68"/>
      <c r="G1027" s="68" t="s">
        <v>626</v>
      </c>
      <c r="H1027" s="68">
        <f t="shared" si="102"/>
        <v>40</v>
      </c>
      <c r="I1027" s="68">
        <v>16</v>
      </c>
      <c r="J1027" s="70"/>
      <c r="K1027" s="70"/>
      <c r="L1027" s="312" t="str">
        <f t="shared" si="101"/>
        <v>扩展帧CAN消息</v>
      </c>
      <c r="M1027" s="68"/>
    </row>
    <row r="1028" s="215" customFormat="1" spans="1:13">
      <c r="A1028" s="68"/>
      <c r="B1028" s="68"/>
      <c r="C1028" s="68"/>
      <c r="D1028" s="68"/>
      <c r="E1028" s="68"/>
      <c r="F1028" s="68"/>
      <c r="G1028" s="68" t="s">
        <v>627</v>
      </c>
      <c r="H1028" s="68">
        <f t="shared" si="102"/>
        <v>56</v>
      </c>
      <c r="I1028" s="68">
        <v>16</v>
      </c>
      <c r="J1028" s="70"/>
      <c r="K1028" s="70"/>
      <c r="L1028" s="312" t="str">
        <f t="shared" si="101"/>
        <v>扩展帧CAN消息</v>
      </c>
      <c r="M1028" s="68"/>
    </row>
    <row r="1029" s="215" customFormat="1" spans="1:13">
      <c r="A1029" s="68"/>
      <c r="B1029" s="68"/>
      <c r="C1029" s="68"/>
      <c r="D1029" s="68"/>
      <c r="E1029" s="68"/>
      <c r="F1029" s="68"/>
      <c r="G1029" s="68" t="s">
        <v>20</v>
      </c>
      <c r="H1029" s="68">
        <f t="shared" si="102"/>
        <v>72</v>
      </c>
      <c r="I1029" s="68">
        <v>4</v>
      </c>
      <c r="J1029" s="70"/>
      <c r="K1029" s="70"/>
      <c r="L1029" s="312"/>
      <c r="M1029" s="68"/>
    </row>
    <row r="1030" s="215" customFormat="1" spans="1:13">
      <c r="A1030" s="68"/>
      <c r="B1030" s="68"/>
      <c r="C1030" s="68"/>
      <c r="D1030" s="68"/>
      <c r="E1030" s="68"/>
      <c r="F1030" s="68"/>
      <c r="G1030" s="68" t="s">
        <v>628</v>
      </c>
      <c r="H1030" s="68">
        <f t="shared" si="102"/>
        <v>76</v>
      </c>
      <c r="I1030" s="68">
        <v>16</v>
      </c>
      <c r="J1030" s="70"/>
      <c r="K1030" s="70"/>
      <c r="L1030" s="312" t="str">
        <f t="shared" ref="L1030:L1033" si="103">IF(RIGHT(G1030,5)="FRAME","扩展帧CAN消息","")</f>
        <v>扩展帧CAN消息</v>
      </c>
      <c r="M1030" s="68"/>
    </row>
    <row r="1031" s="215" customFormat="1" spans="1:13">
      <c r="A1031" s="68"/>
      <c r="B1031" s="68"/>
      <c r="C1031" s="68"/>
      <c r="D1031" s="68"/>
      <c r="E1031" s="68"/>
      <c r="F1031" s="68"/>
      <c r="G1031" s="68" t="s">
        <v>629</v>
      </c>
      <c r="H1031" s="68">
        <f t="shared" si="102"/>
        <v>92</v>
      </c>
      <c r="I1031" s="68">
        <v>16</v>
      </c>
      <c r="J1031" s="70"/>
      <c r="K1031" s="70"/>
      <c r="L1031" s="312" t="str">
        <f t="shared" si="103"/>
        <v>扩展帧CAN消息</v>
      </c>
      <c r="M1031" s="68"/>
    </row>
    <row r="1032" s="215" customFormat="1" spans="1:13">
      <c r="A1032" s="68"/>
      <c r="B1032" s="68"/>
      <c r="C1032" s="68"/>
      <c r="D1032" s="68"/>
      <c r="E1032" s="68"/>
      <c r="F1032" s="68"/>
      <c r="G1032" s="68" t="s">
        <v>630</v>
      </c>
      <c r="H1032" s="68">
        <f t="shared" si="102"/>
        <v>108</v>
      </c>
      <c r="I1032" s="68">
        <v>16</v>
      </c>
      <c r="J1032" s="70"/>
      <c r="K1032" s="70"/>
      <c r="L1032" s="312" t="str">
        <f t="shared" si="103"/>
        <v>扩展帧CAN消息</v>
      </c>
      <c r="M1032" s="68"/>
    </row>
    <row r="1033" s="215" customFormat="1" spans="1:13">
      <c r="A1033" s="68"/>
      <c r="B1033" s="68"/>
      <c r="C1033" s="68"/>
      <c r="D1033" s="68"/>
      <c r="E1033" s="68"/>
      <c r="F1033" s="68"/>
      <c r="G1033" s="68" t="s">
        <v>631</v>
      </c>
      <c r="H1033" s="68">
        <f t="shared" si="102"/>
        <v>124</v>
      </c>
      <c r="I1033" s="68">
        <v>16</v>
      </c>
      <c r="J1033" s="70"/>
      <c r="K1033" s="70"/>
      <c r="L1033" s="312" t="str">
        <f t="shared" si="103"/>
        <v>扩展帧CAN消息</v>
      </c>
      <c r="M1033" s="68"/>
    </row>
    <row r="1034" s="215" customFormat="1" spans="1:13">
      <c r="A1034" s="68"/>
      <c r="B1034" s="68"/>
      <c r="C1034" s="68"/>
      <c r="D1034" s="68"/>
      <c r="E1034" s="68"/>
      <c r="F1034" s="68"/>
      <c r="G1034" s="68" t="s">
        <v>20</v>
      </c>
      <c r="H1034" s="68">
        <f t="shared" si="102"/>
        <v>140</v>
      </c>
      <c r="I1034" s="68">
        <v>4</v>
      </c>
      <c r="J1034" s="70"/>
      <c r="K1034" s="70"/>
      <c r="L1034" s="312"/>
      <c r="M1034" s="68"/>
    </row>
    <row r="1035" s="215" customFormat="1" spans="1:13">
      <c r="A1035" s="68"/>
      <c r="B1035" s="68"/>
      <c r="C1035" s="68"/>
      <c r="D1035" s="68"/>
      <c r="E1035" s="68"/>
      <c r="F1035" s="68"/>
      <c r="G1035" s="68" t="s">
        <v>632</v>
      </c>
      <c r="H1035" s="68">
        <f t="shared" si="102"/>
        <v>144</v>
      </c>
      <c r="I1035" s="68">
        <v>16</v>
      </c>
      <c r="J1035" s="70"/>
      <c r="K1035" s="70"/>
      <c r="L1035" s="312" t="str">
        <f t="shared" ref="L1035:L1038" si="104">IF(RIGHT(G1035,5)="FRAME","扩展帧CAN消息","")</f>
        <v>扩展帧CAN消息</v>
      </c>
      <c r="M1035" s="68"/>
    </row>
    <row r="1036" s="215" customFormat="1" spans="1:13">
      <c r="A1036" s="68"/>
      <c r="B1036" s="68"/>
      <c r="C1036" s="68"/>
      <c r="D1036" s="68"/>
      <c r="E1036" s="68"/>
      <c r="F1036" s="68"/>
      <c r="G1036" s="68" t="s">
        <v>633</v>
      </c>
      <c r="H1036" s="68">
        <f t="shared" si="102"/>
        <v>160</v>
      </c>
      <c r="I1036" s="68">
        <v>16</v>
      </c>
      <c r="J1036" s="70"/>
      <c r="K1036" s="70"/>
      <c r="L1036" s="312" t="str">
        <f t="shared" si="104"/>
        <v>扩展帧CAN消息</v>
      </c>
      <c r="M1036" s="68"/>
    </row>
    <row r="1037" s="215" customFormat="1" spans="1:13">
      <c r="A1037" s="68"/>
      <c r="B1037" s="68"/>
      <c r="C1037" s="68"/>
      <c r="D1037" s="68"/>
      <c r="E1037" s="68"/>
      <c r="F1037" s="68"/>
      <c r="G1037" s="68" t="s">
        <v>634</v>
      </c>
      <c r="H1037" s="68">
        <f t="shared" si="102"/>
        <v>176</v>
      </c>
      <c r="I1037" s="68">
        <v>16</v>
      </c>
      <c r="J1037" s="70"/>
      <c r="K1037" s="70"/>
      <c r="L1037" s="312" t="str">
        <f t="shared" si="104"/>
        <v>扩展帧CAN消息</v>
      </c>
      <c r="M1037" s="68"/>
    </row>
    <row r="1038" s="215" customFormat="1" spans="1:13">
      <c r="A1038" s="68"/>
      <c r="B1038" s="68"/>
      <c r="C1038" s="68"/>
      <c r="D1038" s="68"/>
      <c r="E1038" s="68"/>
      <c r="F1038" s="68"/>
      <c r="G1038" s="68" t="s">
        <v>635</v>
      </c>
      <c r="H1038" s="68">
        <f t="shared" si="102"/>
        <v>192</v>
      </c>
      <c r="I1038" s="68">
        <v>16</v>
      </c>
      <c r="J1038" s="70"/>
      <c r="K1038" s="70"/>
      <c r="L1038" s="312" t="str">
        <f t="shared" si="104"/>
        <v>扩展帧CAN消息</v>
      </c>
      <c r="M1038" s="68"/>
    </row>
    <row r="1039" s="215" customFormat="1" spans="1:13">
      <c r="A1039" s="68"/>
      <c r="B1039" s="68"/>
      <c r="C1039" s="68"/>
      <c r="D1039" s="68"/>
      <c r="E1039" s="68"/>
      <c r="F1039" s="68"/>
      <c r="G1039" s="68" t="s">
        <v>20</v>
      </c>
      <c r="H1039" s="68">
        <f t="shared" si="102"/>
        <v>208</v>
      </c>
      <c r="I1039" s="68">
        <v>4</v>
      </c>
      <c r="J1039" s="70"/>
      <c r="K1039" s="70"/>
      <c r="L1039" s="312"/>
      <c r="M1039" s="68"/>
    </row>
    <row r="1040" s="215" customFormat="1" spans="1:13">
      <c r="A1040" s="68"/>
      <c r="B1040" s="68"/>
      <c r="C1040" s="68"/>
      <c r="D1040" s="68"/>
      <c r="E1040" s="68"/>
      <c r="F1040" s="68"/>
      <c r="G1040" s="68" t="s">
        <v>636</v>
      </c>
      <c r="H1040" s="68">
        <f t="shared" si="102"/>
        <v>212</v>
      </c>
      <c r="I1040" s="68">
        <v>16</v>
      </c>
      <c r="J1040" s="70"/>
      <c r="K1040" s="70"/>
      <c r="L1040" s="312" t="str">
        <f t="shared" ref="L1040:L1043" si="105">IF(RIGHT(G1040,5)="FRAME","扩展帧CAN消息","")</f>
        <v>扩展帧CAN消息</v>
      </c>
      <c r="M1040" s="68"/>
    </row>
    <row r="1041" s="215" customFormat="1" spans="1:13">
      <c r="A1041" s="68"/>
      <c r="B1041" s="68"/>
      <c r="C1041" s="68"/>
      <c r="D1041" s="68"/>
      <c r="E1041" s="68"/>
      <c r="F1041" s="68"/>
      <c r="G1041" s="68" t="s">
        <v>637</v>
      </c>
      <c r="H1041" s="68">
        <f t="shared" si="102"/>
        <v>228</v>
      </c>
      <c r="I1041" s="68">
        <v>16</v>
      </c>
      <c r="J1041" s="70"/>
      <c r="K1041" s="70"/>
      <c r="L1041" s="312" t="str">
        <f t="shared" si="105"/>
        <v>扩展帧CAN消息</v>
      </c>
      <c r="M1041" s="68"/>
    </row>
    <row r="1042" s="215" customFormat="1" spans="1:13">
      <c r="A1042" s="68"/>
      <c r="B1042" s="68"/>
      <c r="C1042" s="68"/>
      <c r="D1042" s="68"/>
      <c r="E1042" s="68"/>
      <c r="F1042" s="68"/>
      <c r="G1042" s="68" t="s">
        <v>638</v>
      </c>
      <c r="H1042" s="68">
        <f t="shared" si="102"/>
        <v>244</v>
      </c>
      <c r="I1042" s="68">
        <v>16</v>
      </c>
      <c r="J1042" s="70"/>
      <c r="K1042" s="70"/>
      <c r="L1042" s="312" t="str">
        <f t="shared" si="105"/>
        <v>扩展帧CAN消息</v>
      </c>
      <c r="M1042" s="68"/>
    </row>
    <row r="1043" s="215" customFormat="1" spans="1:13">
      <c r="A1043" s="68"/>
      <c r="B1043" s="68"/>
      <c r="C1043" s="68"/>
      <c r="D1043" s="68"/>
      <c r="E1043" s="68"/>
      <c r="F1043" s="68"/>
      <c r="G1043" s="68" t="s">
        <v>639</v>
      </c>
      <c r="H1043" s="68">
        <f t="shared" si="102"/>
        <v>260</v>
      </c>
      <c r="I1043" s="68">
        <v>16</v>
      </c>
      <c r="J1043" s="70"/>
      <c r="K1043" s="70"/>
      <c r="L1043" s="312" t="str">
        <f t="shared" si="105"/>
        <v>扩展帧CAN消息</v>
      </c>
      <c r="M1043" s="68"/>
    </row>
    <row r="1044" s="215" customFormat="1" spans="1:13">
      <c r="A1044" s="68"/>
      <c r="B1044" s="68"/>
      <c r="C1044" s="68"/>
      <c r="D1044" s="68"/>
      <c r="E1044" s="68"/>
      <c r="F1044" s="68"/>
      <c r="G1044" s="68" t="s">
        <v>20</v>
      </c>
      <c r="H1044" s="68">
        <f t="shared" si="102"/>
        <v>276</v>
      </c>
      <c r="I1044" s="68">
        <v>4</v>
      </c>
      <c r="J1044" s="70"/>
      <c r="K1044" s="70"/>
      <c r="L1044" s="312"/>
      <c r="M1044" s="68"/>
    </row>
    <row r="1045" s="215" customFormat="1" spans="1:13">
      <c r="A1045" s="68"/>
      <c r="B1045" s="68"/>
      <c r="C1045" s="68"/>
      <c r="D1045" s="68"/>
      <c r="E1045" s="68"/>
      <c r="F1045" s="68"/>
      <c r="G1045" s="68" t="s">
        <v>640</v>
      </c>
      <c r="H1045" s="68">
        <f t="shared" si="102"/>
        <v>280</v>
      </c>
      <c r="I1045" s="68">
        <v>16</v>
      </c>
      <c r="J1045" s="70"/>
      <c r="K1045" s="70"/>
      <c r="L1045" s="312" t="str">
        <f t="shared" ref="L1045:L1048" si="106">IF(RIGHT(G1045,5)="FRAME","扩展帧CAN消息","")</f>
        <v>扩展帧CAN消息</v>
      </c>
      <c r="M1045" s="68"/>
    </row>
    <row r="1046" s="215" customFormat="1" spans="1:13">
      <c r="A1046" s="68"/>
      <c r="B1046" s="68"/>
      <c r="C1046" s="68"/>
      <c r="D1046" s="68"/>
      <c r="E1046" s="68"/>
      <c r="F1046" s="68"/>
      <c r="G1046" s="68" t="s">
        <v>641</v>
      </c>
      <c r="H1046" s="68">
        <f t="shared" si="102"/>
        <v>296</v>
      </c>
      <c r="I1046" s="68">
        <v>16</v>
      </c>
      <c r="J1046" s="70"/>
      <c r="K1046" s="70"/>
      <c r="L1046" s="312" t="str">
        <f t="shared" si="106"/>
        <v>扩展帧CAN消息</v>
      </c>
      <c r="M1046" s="68"/>
    </row>
    <row r="1047" s="215" customFormat="1" spans="1:13">
      <c r="A1047" s="68"/>
      <c r="B1047" s="68"/>
      <c r="C1047" s="68"/>
      <c r="D1047" s="68"/>
      <c r="E1047" s="68"/>
      <c r="F1047" s="68"/>
      <c r="G1047" s="68" t="s">
        <v>642</v>
      </c>
      <c r="H1047" s="68">
        <f t="shared" si="102"/>
        <v>312</v>
      </c>
      <c r="I1047" s="68">
        <v>16</v>
      </c>
      <c r="J1047" s="70"/>
      <c r="K1047" s="70"/>
      <c r="L1047" s="312" t="str">
        <f t="shared" si="106"/>
        <v>扩展帧CAN消息</v>
      </c>
      <c r="M1047" s="68"/>
    </row>
    <row r="1048" s="215" customFormat="1" spans="1:13">
      <c r="A1048" s="68"/>
      <c r="B1048" s="68"/>
      <c r="C1048" s="68"/>
      <c r="D1048" s="68"/>
      <c r="E1048" s="68"/>
      <c r="F1048" s="68"/>
      <c r="G1048" s="68" t="s">
        <v>643</v>
      </c>
      <c r="H1048" s="68">
        <f t="shared" si="102"/>
        <v>328</v>
      </c>
      <c r="I1048" s="68">
        <v>16</v>
      </c>
      <c r="J1048" s="70"/>
      <c r="K1048" s="70"/>
      <c r="L1048" s="312" t="str">
        <f t="shared" si="106"/>
        <v>扩展帧CAN消息</v>
      </c>
      <c r="M1048" s="68"/>
    </row>
    <row r="1049" s="215" customFormat="1" spans="1:13">
      <c r="A1049" s="68"/>
      <c r="B1049" s="68"/>
      <c r="C1049" s="68"/>
      <c r="D1049" s="68"/>
      <c r="E1049" s="68"/>
      <c r="F1049" s="68"/>
      <c r="G1049" s="68" t="s">
        <v>20</v>
      </c>
      <c r="H1049" s="68">
        <f t="shared" si="102"/>
        <v>344</v>
      </c>
      <c r="I1049" s="68">
        <v>4</v>
      </c>
      <c r="J1049" s="70"/>
      <c r="K1049" s="70"/>
      <c r="L1049" s="312"/>
      <c r="M1049" s="68"/>
    </row>
    <row r="1050" s="215" customFormat="1" spans="1:13">
      <c r="A1050" s="68"/>
      <c r="B1050" s="68"/>
      <c r="C1050" s="68"/>
      <c r="D1050" s="68"/>
      <c r="E1050" s="68"/>
      <c r="F1050" s="68"/>
      <c r="G1050" s="68" t="s">
        <v>644</v>
      </c>
      <c r="H1050" s="68">
        <f t="shared" si="102"/>
        <v>348</v>
      </c>
      <c r="I1050" s="68">
        <v>16</v>
      </c>
      <c r="J1050" s="70"/>
      <c r="K1050" s="70"/>
      <c r="L1050" s="312" t="str">
        <f t="shared" ref="L1050:L1053" si="107">IF(RIGHT(G1050,5)="FRAME","扩展帧CAN消息","")</f>
        <v>扩展帧CAN消息</v>
      </c>
      <c r="M1050" s="68"/>
    </row>
    <row r="1051" s="215" customFormat="1" spans="1:13">
      <c r="A1051" s="68"/>
      <c r="B1051" s="68"/>
      <c r="C1051" s="68"/>
      <c r="D1051" s="68"/>
      <c r="E1051" s="68"/>
      <c r="F1051" s="68"/>
      <c r="G1051" s="68" t="s">
        <v>645</v>
      </c>
      <c r="H1051" s="68">
        <f t="shared" si="102"/>
        <v>364</v>
      </c>
      <c r="I1051" s="68">
        <v>16</v>
      </c>
      <c r="J1051" s="70"/>
      <c r="K1051" s="70"/>
      <c r="L1051" s="312" t="str">
        <f t="shared" si="107"/>
        <v>扩展帧CAN消息</v>
      </c>
      <c r="M1051" s="68"/>
    </row>
    <row r="1052" s="215" customFormat="1" spans="1:13">
      <c r="A1052" s="68"/>
      <c r="B1052" s="68"/>
      <c r="C1052" s="68"/>
      <c r="D1052" s="68"/>
      <c r="E1052" s="68"/>
      <c r="F1052" s="68"/>
      <c r="G1052" s="68" t="s">
        <v>646</v>
      </c>
      <c r="H1052" s="68">
        <f t="shared" si="102"/>
        <v>380</v>
      </c>
      <c r="I1052" s="68">
        <v>16</v>
      </c>
      <c r="J1052" s="70"/>
      <c r="K1052" s="70"/>
      <c r="L1052" s="312" t="str">
        <f t="shared" si="107"/>
        <v>扩展帧CAN消息</v>
      </c>
      <c r="M1052" s="68"/>
    </row>
    <row r="1053" s="215" customFormat="1" spans="1:13">
      <c r="A1053" s="68"/>
      <c r="B1053" s="68"/>
      <c r="C1053" s="68"/>
      <c r="D1053" s="68"/>
      <c r="E1053" s="68"/>
      <c r="F1053" s="68"/>
      <c r="G1053" s="68" t="s">
        <v>647</v>
      </c>
      <c r="H1053" s="68">
        <f t="shared" si="102"/>
        <v>396</v>
      </c>
      <c r="I1053" s="68">
        <v>16</v>
      </c>
      <c r="J1053" s="70"/>
      <c r="K1053" s="70"/>
      <c r="L1053" s="312" t="str">
        <f t="shared" si="107"/>
        <v>扩展帧CAN消息</v>
      </c>
      <c r="M1053" s="68"/>
    </row>
    <row r="1054" s="215" customFormat="1" spans="1:13">
      <c r="A1054" s="68"/>
      <c r="B1054" s="68"/>
      <c r="C1054" s="68"/>
      <c r="D1054" s="68"/>
      <c r="E1054" s="68"/>
      <c r="F1054" s="68"/>
      <c r="G1054" s="68" t="s">
        <v>20</v>
      </c>
      <c r="H1054" s="68">
        <f t="shared" si="102"/>
        <v>412</v>
      </c>
      <c r="I1054" s="68">
        <v>4</v>
      </c>
      <c r="J1054" s="70"/>
      <c r="K1054" s="70"/>
      <c r="L1054" s="312"/>
      <c r="M1054" s="68"/>
    </row>
    <row r="1055" s="215" customFormat="1" spans="1:13">
      <c r="A1055" s="68"/>
      <c r="B1055" s="68"/>
      <c r="C1055" s="68"/>
      <c r="D1055" s="68"/>
      <c r="E1055" s="68"/>
      <c r="F1055" s="68"/>
      <c r="G1055" s="68" t="s">
        <v>648</v>
      </c>
      <c r="H1055" s="68">
        <f t="shared" si="102"/>
        <v>416</v>
      </c>
      <c r="I1055" s="68">
        <v>16</v>
      </c>
      <c r="J1055" s="70"/>
      <c r="K1055" s="70"/>
      <c r="L1055" s="312" t="str">
        <f t="shared" ref="L1055:L1058" si="108">IF(RIGHT(G1055,5)="FRAME","扩展帧CAN消息","")</f>
        <v>扩展帧CAN消息</v>
      </c>
      <c r="M1055" s="68"/>
    </row>
    <row r="1056" s="215" customFormat="1" spans="1:13">
      <c r="A1056" s="68"/>
      <c r="B1056" s="68"/>
      <c r="C1056" s="68"/>
      <c r="D1056" s="68"/>
      <c r="E1056" s="68"/>
      <c r="F1056" s="68"/>
      <c r="G1056" s="68" t="s">
        <v>649</v>
      </c>
      <c r="H1056" s="68">
        <f t="shared" si="102"/>
        <v>432</v>
      </c>
      <c r="I1056" s="68">
        <v>16</v>
      </c>
      <c r="J1056" s="70"/>
      <c r="K1056" s="70"/>
      <c r="L1056" s="312" t="str">
        <f t="shared" si="108"/>
        <v>扩展帧CAN消息</v>
      </c>
      <c r="M1056" s="68"/>
    </row>
    <row r="1057" s="215" customFormat="1" spans="1:13">
      <c r="A1057" s="68"/>
      <c r="B1057" s="68"/>
      <c r="C1057" s="68"/>
      <c r="D1057" s="68"/>
      <c r="E1057" s="68"/>
      <c r="F1057" s="68"/>
      <c r="G1057" s="68" t="s">
        <v>650</v>
      </c>
      <c r="H1057" s="68">
        <f t="shared" si="102"/>
        <v>448</v>
      </c>
      <c r="I1057" s="68">
        <v>16</v>
      </c>
      <c r="J1057" s="70"/>
      <c r="K1057" s="70"/>
      <c r="L1057" s="312" t="str">
        <f t="shared" si="108"/>
        <v>扩展帧CAN消息</v>
      </c>
      <c r="M1057" s="68"/>
    </row>
    <row r="1058" s="215" customFormat="1" spans="1:13">
      <c r="A1058" s="68"/>
      <c r="B1058" s="68"/>
      <c r="C1058" s="68"/>
      <c r="D1058" s="68"/>
      <c r="E1058" s="68"/>
      <c r="F1058" s="68"/>
      <c r="G1058" s="68" t="s">
        <v>651</v>
      </c>
      <c r="H1058" s="68">
        <f t="shared" si="102"/>
        <v>464</v>
      </c>
      <c r="I1058" s="68">
        <v>16</v>
      </c>
      <c r="J1058" s="70"/>
      <c r="K1058" s="70"/>
      <c r="L1058" s="312" t="str">
        <f t="shared" si="108"/>
        <v>扩展帧CAN消息</v>
      </c>
      <c r="M1058" s="68"/>
    </row>
    <row r="1059" s="215" customFormat="1" spans="1:13">
      <c r="A1059" s="68"/>
      <c r="B1059" s="68"/>
      <c r="C1059" s="68"/>
      <c r="D1059" s="68"/>
      <c r="E1059" s="68"/>
      <c r="F1059" s="68"/>
      <c r="G1059" s="68" t="s">
        <v>20</v>
      </c>
      <c r="H1059" s="68">
        <f t="shared" si="102"/>
        <v>480</v>
      </c>
      <c r="I1059" s="68">
        <v>4</v>
      </c>
      <c r="J1059" s="70"/>
      <c r="K1059" s="70"/>
      <c r="L1059" s="317"/>
      <c r="M1059" s="68"/>
    </row>
    <row r="1060" s="215" customFormat="1" spans="1:13">
      <c r="A1060" s="68"/>
      <c r="B1060" s="68"/>
      <c r="C1060" s="68"/>
      <c r="D1060" s="68"/>
      <c r="E1060" s="68"/>
      <c r="F1060" s="68"/>
      <c r="G1060" s="68" t="s">
        <v>652</v>
      </c>
      <c r="H1060" s="68">
        <f t="shared" si="102"/>
        <v>484</v>
      </c>
      <c r="I1060" s="68">
        <v>16</v>
      </c>
      <c r="J1060" s="70"/>
      <c r="K1060" s="70"/>
      <c r="L1060" s="312" t="str">
        <f t="shared" ref="L1060:L1063" si="109">IF(RIGHT(G1060,5)="FRAME","扩展帧CAN消息","")</f>
        <v>扩展帧CAN消息</v>
      </c>
      <c r="M1060" s="68"/>
    </row>
    <row r="1061" s="215" customFormat="1" spans="1:13">
      <c r="A1061" s="68"/>
      <c r="B1061" s="68"/>
      <c r="C1061" s="68"/>
      <c r="D1061" s="68"/>
      <c r="E1061" s="68"/>
      <c r="F1061" s="68"/>
      <c r="G1061" s="68" t="s">
        <v>653</v>
      </c>
      <c r="H1061" s="68">
        <f t="shared" si="102"/>
        <v>500</v>
      </c>
      <c r="I1061" s="68">
        <v>16</v>
      </c>
      <c r="J1061" s="70"/>
      <c r="K1061" s="70"/>
      <c r="L1061" s="312" t="str">
        <f t="shared" si="109"/>
        <v>扩展帧CAN消息</v>
      </c>
      <c r="M1061" s="68"/>
    </row>
    <row r="1062" s="215" customFormat="1" spans="1:13">
      <c r="A1062" s="68"/>
      <c r="B1062" s="68"/>
      <c r="C1062" s="68"/>
      <c r="D1062" s="68"/>
      <c r="E1062" s="68"/>
      <c r="F1062" s="68"/>
      <c r="G1062" s="68" t="s">
        <v>654</v>
      </c>
      <c r="H1062" s="68">
        <f t="shared" si="102"/>
        <v>516</v>
      </c>
      <c r="I1062" s="68">
        <v>16</v>
      </c>
      <c r="J1062" s="70"/>
      <c r="K1062" s="70"/>
      <c r="L1062" s="312" t="str">
        <f t="shared" si="109"/>
        <v>扩展帧CAN消息</v>
      </c>
      <c r="M1062" s="68"/>
    </row>
    <row r="1063" s="215" customFormat="1" spans="1:13">
      <c r="A1063" s="68"/>
      <c r="B1063" s="68"/>
      <c r="C1063" s="68"/>
      <c r="D1063" s="68"/>
      <c r="E1063" s="68"/>
      <c r="F1063" s="68"/>
      <c r="G1063" s="68" t="s">
        <v>655</v>
      </c>
      <c r="H1063" s="68">
        <f t="shared" si="102"/>
        <v>532</v>
      </c>
      <c r="I1063" s="68">
        <v>16</v>
      </c>
      <c r="J1063" s="70"/>
      <c r="K1063" s="70"/>
      <c r="L1063" s="312" t="str">
        <f t="shared" si="109"/>
        <v>扩展帧CAN消息</v>
      </c>
      <c r="M1063" s="68"/>
    </row>
    <row r="1064" s="215" customFormat="1" spans="1:13">
      <c r="A1064" s="68"/>
      <c r="B1064" s="68"/>
      <c r="C1064" s="68"/>
      <c r="D1064" s="68"/>
      <c r="E1064" s="68"/>
      <c r="F1064" s="68"/>
      <c r="G1064" s="68" t="s">
        <v>20</v>
      </c>
      <c r="H1064" s="68">
        <f t="shared" si="102"/>
        <v>548</v>
      </c>
      <c r="I1064" s="68">
        <v>4</v>
      </c>
      <c r="J1064" s="70"/>
      <c r="K1064" s="70"/>
      <c r="L1064" s="312"/>
      <c r="M1064" s="68"/>
    </row>
    <row r="1065" s="215" customFormat="1" spans="1:13">
      <c r="A1065" s="68"/>
      <c r="B1065" s="68"/>
      <c r="C1065" s="68"/>
      <c r="D1065" s="68"/>
      <c r="E1065" s="68"/>
      <c r="F1065" s="68"/>
      <c r="G1065" s="68" t="s">
        <v>656</v>
      </c>
      <c r="H1065" s="68">
        <f t="shared" si="102"/>
        <v>552</v>
      </c>
      <c r="I1065" s="68">
        <v>16</v>
      </c>
      <c r="J1065" s="70"/>
      <c r="K1065" s="70"/>
      <c r="L1065" s="312" t="str">
        <f t="shared" ref="L1065:L1068" si="110">IF(RIGHT(G1065,5)="FRAME","扩展帧CAN消息","")</f>
        <v>扩展帧CAN消息</v>
      </c>
      <c r="M1065" s="68"/>
    </row>
    <row r="1066" s="215" customFormat="1" spans="1:13">
      <c r="A1066" s="68"/>
      <c r="B1066" s="68"/>
      <c r="C1066" s="68"/>
      <c r="D1066" s="68"/>
      <c r="E1066" s="68"/>
      <c r="F1066" s="68"/>
      <c r="G1066" s="68" t="s">
        <v>657</v>
      </c>
      <c r="H1066" s="68">
        <f t="shared" si="102"/>
        <v>568</v>
      </c>
      <c r="I1066" s="68">
        <v>16</v>
      </c>
      <c r="J1066" s="70"/>
      <c r="K1066" s="70"/>
      <c r="L1066" s="312" t="str">
        <f t="shared" si="110"/>
        <v>扩展帧CAN消息</v>
      </c>
      <c r="M1066" s="68"/>
    </row>
    <row r="1067" s="215" customFormat="1" spans="1:13">
      <c r="A1067" s="68"/>
      <c r="B1067" s="68"/>
      <c r="C1067" s="68"/>
      <c r="D1067" s="68"/>
      <c r="E1067" s="68"/>
      <c r="F1067" s="68"/>
      <c r="G1067" s="68" t="s">
        <v>658</v>
      </c>
      <c r="H1067" s="68">
        <f t="shared" si="102"/>
        <v>584</v>
      </c>
      <c r="I1067" s="68">
        <v>16</v>
      </c>
      <c r="J1067" s="70"/>
      <c r="K1067" s="70"/>
      <c r="L1067" s="312" t="str">
        <f t="shared" si="110"/>
        <v>扩展帧CAN消息</v>
      </c>
      <c r="M1067" s="68"/>
    </row>
    <row r="1068" s="215" customFormat="1" spans="1:13">
      <c r="A1068" s="68"/>
      <c r="B1068" s="68"/>
      <c r="C1068" s="68"/>
      <c r="D1068" s="68"/>
      <c r="E1068" s="68"/>
      <c r="F1068" s="68"/>
      <c r="G1068" s="68" t="s">
        <v>659</v>
      </c>
      <c r="H1068" s="68">
        <f t="shared" si="102"/>
        <v>600</v>
      </c>
      <c r="I1068" s="68">
        <v>16</v>
      </c>
      <c r="J1068" s="70"/>
      <c r="K1068" s="70"/>
      <c r="L1068" s="312" t="str">
        <f t="shared" si="110"/>
        <v>扩展帧CAN消息</v>
      </c>
      <c r="M1068" s="68"/>
    </row>
    <row r="1069" s="215" customFormat="1" spans="1:13">
      <c r="A1069" s="68"/>
      <c r="B1069" s="68"/>
      <c r="C1069" s="68"/>
      <c r="D1069" s="68"/>
      <c r="E1069" s="68"/>
      <c r="F1069" s="68"/>
      <c r="G1069" s="68" t="s">
        <v>20</v>
      </c>
      <c r="H1069" s="68">
        <f t="shared" si="102"/>
        <v>616</v>
      </c>
      <c r="I1069" s="68">
        <v>4</v>
      </c>
      <c r="J1069" s="70"/>
      <c r="K1069" s="70"/>
      <c r="L1069" s="317"/>
      <c r="M1069" s="68"/>
    </row>
    <row r="1070" s="215" customFormat="1" spans="1:13">
      <c r="A1070" s="68"/>
      <c r="B1070" s="68"/>
      <c r="C1070" s="68"/>
      <c r="D1070" s="68"/>
      <c r="E1070" s="68"/>
      <c r="F1070" s="68"/>
      <c r="G1070" s="68" t="s">
        <v>660</v>
      </c>
      <c r="H1070" s="68">
        <f t="shared" si="102"/>
        <v>620</v>
      </c>
      <c r="I1070" s="68">
        <v>16</v>
      </c>
      <c r="J1070" s="70"/>
      <c r="K1070" s="70"/>
      <c r="L1070" s="312" t="str">
        <f t="shared" ref="L1070:L1072" si="111">IF(RIGHT(G1070,5)="FRAME","扩展帧CAN消息","")</f>
        <v>扩展帧CAN消息</v>
      </c>
      <c r="M1070" s="68"/>
    </row>
    <row r="1071" s="215" customFormat="1" spans="1:13">
      <c r="A1071" s="68"/>
      <c r="B1071" s="68"/>
      <c r="C1071" s="68"/>
      <c r="D1071" s="68"/>
      <c r="E1071" s="68"/>
      <c r="F1071" s="68"/>
      <c r="G1071" s="68" t="s">
        <v>661</v>
      </c>
      <c r="H1071" s="68">
        <f t="shared" si="102"/>
        <v>636</v>
      </c>
      <c r="I1071" s="68">
        <v>16</v>
      </c>
      <c r="J1071" s="70"/>
      <c r="K1071" s="70"/>
      <c r="L1071" s="312" t="str">
        <f t="shared" si="111"/>
        <v>扩展帧CAN消息</v>
      </c>
      <c r="M1071" s="68"/>
    </row>
    <row r="1072" s="215" customFormat="1" spans="1:13">
      <c r="A1072" s="68"/>
      <c r="B1072" s="68"/>
      <c r="C1072" s="68"/>
      <c r="D1072" s="68"/>
      <c r="E1072" s="68"/>
      <c r="F1072" s="68"/>
      <c r="G1072" s="68" t="s">
        <v>662</v>
      </c>
      <c r="H1072" s="68">
        <f t="shared" si="102"/>
        <v>652</v>
      </c>
      <c r="I1072" s="68">
        <v>16</v>
      </c>
      <c r="J1072" s="70"/>
      <c r="K1072" s="70"/>
      <c r="L1072" s="312" t="str">
        <f t="shared" si="111"/>
        <v>扩展帧CAN消息</v>
      </c>
      <c r="M1072" s="68"/>
    </row>
    <row r="1073" s="215" customFormat="1" spans="1:13">
      <c r="A1073" s="68" t="s">
        <v>310</v>
      </c>
      <c r="B1073" s="68" t="s">
        <v>663</v>
      </c>
      <c r="C1073" s="68" t="s">
        <v>213</v>
      </c>
      <c r="D1073" s="68" t="s">
        <v>317</v>
      </c>
      <c r="E1073" s="68">
        <v>7067</v>
      </c>
      <c r="F1073" s="68" t="s">
        <v>86</v>
      </c>
      <c r="G1073" s="68" t="s">
        <v>18</v>
      </c>
      <c r="H1073" s="68">
        <v>0</v>
      </c>
      <c r="I1073" s="68">
        <v>4</v>
      </c>
      <c r="J1073" s="68" t="s">
        <v>77</v>
      </c>
      <c r="K1073" s="68">
        <v>1000</v>
      </c>
      <c r="L1073" s="312"/>
      <c r="M1073" s="68">
        <v>1102201</v>
      </c>
    </row>
    <row r="1074" s="215" customFormat="1" spans="1:13">
      <c r="A1074" s="68"/>
      <c r="B1074" s="68"/>
      <c r="C1074" s="68"/>
      <c r="D1074" s="68"/>
      <c r="E1074" s="68"/>
      <c r="F1074" s="68"/>
      <c r="G1074" s="68" t="s">
        <v>20</v>
      </c>
      <c r="H1074" s="68">
        <v>4</v>
      </c>
      <c r="I1074" s="68">
        <v>4</v>
      </c>
      <c r="J1074" s="68"/>
      <c r="K1074" s="68"/>
      <c r="L1074" s="312"/>
      <c r="M1074" s="68"/>
    </row>
    <row r="1075" s="215" customFormat="1" spans="1:13">
      <c r="A1075" s="68"/>
      <c r="B1075" s="68"/>
      <c r="C1075" s="68"/>
      <c r="D1075" s="68"/>
      <c r="E1075" s="68"/>
      <c r="F1075" s="68"/>
      <c r="G1075" s="68" t="s">
        <v>664</v>
      </c>
      <c r="H1075" s="68">
        <v>8</v>
      </c>
      <c r="I1075" s="68">
        <v>16</v>
      </c>
      <c r="J1075" s="68"/>
      <c r="K1075" s="68"/>
      <c r="L1075" s="312" t="str">
        <f t="shared" ref="L1075:L1078" si="112">IF(RIGHT(G1075,5)="FRAME","扩展帧CAN消息","")</f>
        <v>扩展帧CAN消息</v>
      </c>
      <c r="M1075" s="68"/>
    </row>
    <row r="1076" s="215" customFormat="1" spans="1:13">
      <c r="A1076" s="68"/>
      <c r="B1076" s="68"/>
      <c r="C1076" s="68"/>
      <c r="D1076" s="68"/>
      <c r="E1076" s="68"/>
      <c r="F1076" s="68"/>
      <c r="G1076" s="68" t="s">
        <v>665</v>
      </c>
      <c r="H1076" s="68">
        <v>24</v>
      </c>
      <c r="I1076" s="68">
        <v>16</v>
      </c>
      <c r="J1076" s="68"/>
      <c r="K1076" s="68"/>
      <c r="L1076" s="312" t="str">
        <f t="shared" si="112"/>
        <v>扩展帧CAN消息</v>
      </c>
      <c r="M1076" s="68"/>
    </row>
    <row r="1077" s="215" customFormat="1" spans="1:13">
      <c r="A1077" s="68"/>
      <c r="B1077" s="68"/>
      <c r="C1077" s="68"/>
      <c r="D1077" s="68"/>
      <c r="E1077" s="68"/>
      <c r="F1077" s="68"/>
      <c r="G1077" s="68" t="s">
        <v>666</v>
      </c>
      <c r="H1077" s="68">
        <v>40</v>
      </c>
      <c r="I1077" s="68">
        <v>16</v>
      </c>
      <c r="J1077" s="68"/>
      <c r="K1077" s="68"/>
      <c r="L1077" s="312" t="str">
        <f t="shared" si="112"/>
        <v>扩展帧CAN消息</v>
      </c>
      <c r="M1077" s="68"/>
    </row>
    <row r="1078" s="215" customFormat="1" spans="1:13">
      <c r="A1078" s="68"/>
      <c r="B1078" s="68"/>
      <c r="C1078" s="68"/>
      <c r="D1078" s="68"/>
      <c r="E1078" s="68"/>
      <c r="F1078" s="68"/>
      <c r="G1078" s="68" t="s">
        <v>667</v>
      </c>
      <c r="H1078" s="68">
        <v>56</v>
      </c>
      <c r="I1078" s="68">
        <v>16</v>
      </c>
      <c r="J1078" s="68"/>
      <c r="K1078" s="68"/>
      <c r="L1078" s="312" t="str">
        <f t="shared" si="112"/>
        <v>扩展帧CAN消息</v>
      </c>
      <c r="M1078" s="68"/>
    </row>
    <row r="1079" s="215" customFormat="1" spans="1:13">
      <c r="A1079" s="68"/>
      <c r="B1079" s="68"/>
      <c r="C1079" s="68"/>
      <c r="D1079" s="68"/>
      <c r="E1079" s="68"/>
      <c r="F1079" s="68"/>
      <c r="G1079" s="68" t="s">
        <v>20</v>
      </c>
      <c r="H1079" s="68">
        <v>72</v>
      </c>
      <c r="I1079" s="68">
        <v>4</v>
      </c>
      <c r="J1079" s="68"/>
      <c r="K1079" s="68"/>
      <c r="L1079" s="312"/>
      <c r="M1079" s="68"/>
    </row>
    <row r="1080" s="215" customFormat="1" spans="1:13">
      <c r="A1080" s="68"/>
      <c r="B1080" s="68"/>
      <c r="C1080" s="68"/>
      <c r="D1080" s="68"/>
      <c r="E1080" s="68"/>
      <c r="F1080" s="68"/>
      <c r="G1080" s="68" t="s">
        <v>668</v>
      </c>
      <c r="H1080" s="68">
        <v>76</v>
      </c>
      <c r="I1080" s="68">
        <v>16</v>
      </c>
      <c r="J1080" s="68"/>
      <c r="K1080" s="68"/>
      <c r="L1080" s="312" t="str">
        <f t="shared" ref="L1080:L1083" si="113">IF(RIGHT(G1080,5)="FRAME","扩展帧CAN消息","")</f>
        <v>扩展帧CAN消息</v>
      </c>
      <c r="M1080" s="68"/>
    </row>
    <row r="1081" s="215" customFormat="1" spans="1:13">
      <c r="A1081" s="68"/>
      <c r="B1081" s="68"/>
      <c r="C1081" s="68"/>
      <c r="D1081" s="68"/>
      <c r="E1081" s="68"/>
      <c r="F1081" s="68"/>
      <c r="G1081" s="68" t="s">
        <v>669</v>
      </c>
      <c r="H1081" s="68">
        <v>92</v>
      </c>
      <c r="I1081" s="68">
        <v>16</v>
      </c>
      <c r="J1081" s="68"/>
      <c r="K1081" s="68"/>
      <c r="L1081" s="312" t="str">
        <f t="shared" si="113"/>
        <v>扩展帧CAN消息</v>
      </c>
      <c r="M1081" s="68"/>
    </row>
    <row r="1082" s="215" customFormat="1" spans="1:13">
      <c r="A1082" s="68"/>
      <c r="B1082" s="68"/>
      <c r="C1082" s="68"/>
      <c r="D1082" s="68"/>
      <c r="E1082" s="68"/>
      <c r="F1082" s="68"/>
      <c r="G1082" s="68" t="s">
        <v>670</v>
      </c>
      <c r="H1082" s="68">
        <v>108</v>
      </c>
      <c r="I1082" s="68">
        <v>16</v>
      </c>
      <c r="J1082" s="68"/>
      <c r="K1082" s="68"/>
      <c r="L1082" s="312" t="str">
        <f t="shared" si="113"/>
        <v>扩展帧CAN消息</v>
      </c>
      <c r="M1082" s="68"/>
    </row>
    <row r="1083" s="215" customFormat="1" spans="1:13">
      <c r="A1083" s="68"/>
      <c r="B1083" s="68"/>
      <c r="C1083" s="68"/>
      <c r="D1083" s="68"/>
      <c r="E1083" s="68"/>
      <c r="F1083" s="68"/>
      <c r="G1083" s="68" t="s">
        <v>671</v>
      </c>
      <c r="H1083" s="68">
        <v>124</v>
      </c>
      <c r="I1083" s="68">
        <v>16</v>
      </c>
      <c r="J1083" s="68"/>
      <c r="K1083" s="68"/>
      <c r="L1083" s="312" t="str">
        <f t="shared" si="113"/>
        <v>扩展帧CAN消息</v>
      </c>
      <c r="M1083" s="68"/>
    </row>
    <row r="1084" s="215" customFormat="1" spans="1:13">
      <c r="A1084" s="68"/>
      <c r="B1084" s="68"/>
      <c r="C1084" s="68"/>
      <c r="D1084" s="68"/>
      <c r="E1084" s="68"/>
      <c r="F1084" s="68"/>
      <c r="G1084" s="68" t="s">
        <v>20</v>
      </c>
      <c r="H1084" s="68">
        <v>140</v>
      </c>
      <c r="I1084" s="68">
        <v>4</v>
      </c>
      <c r="J1084" s="68"/>
      <c r="K1084" s="68"/>
      <c r="L1084" s="312"/>
      <c r="M1084" s="68"/>
    </row>
    <row r="1085" s="215" customFormat="1" spans="1:13">
      <c r="A1085" s="68"/>
      <c r="B1085" s="68"/>
      <c r="C1085" s="68"/>
      <c r="D1085" s="68"/>
      <c r="E1085" s="68"/>
      <c r="F1085" s="68"/>
      <c r="G1085" s="68" t="s">
        <v>672</v>
      </c>
      <c r="H1085" s="68">
        <v>144</v>
      </c>
      <c r="I1085" s="68">
        <v>16</v>
      </c>
      <c r="J1085" s="68"/>
      <c r="K1085" s="68"/>
      <c r="L1085" s="312" t="str">
        <f t="shared" ref="L1085:L1088" si="114">IF(RIGHT(G1085,5)="FRAME","扩展帧CAN消息","")</f>
        <v>扩展帧CAN消息</v>
      </c>
      <c r="M1085" s="68"/>
    </row>
    <row r="1086" s="215" customFormat="1" spans="1:13">
      <c r="A1086" s="68"/>
      <c r="B1086" s="68"/>
      <c r="C1086" s="68"/>
      <c r="D1086" s="68"/>
      <c r="E1086" s="68"/>
      <c r="F1086" s="68"/>
      <c r="G1086" s="68" t="s">
        <v>673</v>
      </c>
      <c r="H1086" s="68">
        <v>160</v>
      </c>
      <c r="I1086" s="68">
        <v>16</v>
      </c>
      <c r="J1086" s="68"/>
      <c r="K1086" s="68"/>
      <c r="L1086" s="312" t="str">
        <f t="shared" si="114"/>
        <v>扩展帧CAN消息</v>
      </c>
      <c r="M1086" s="68"/>
    </row>
    <row r="1087" s="215" customFormat="1" spans="1:13">
      <c r="A1087" s="68"/>
      <c r="B1087" s="68"/>
      <c r="C1087" s="68"/>
      <c r="D1087" s="68"/>
      <c r="E1087" s="68"/>
      <c r="F1087" s="68"/>
      <c r="G1087" s="68" t="s">
        <v>674</v>
      </c>
      <c r="H1087" s="68">
        <v>176</v>
      </c>
      <c r="I1087" s="68">
        <v>16</v>
      </c>
      <c r="J1087" s="68"/>
      <c r="K1087" s="68"/>
      <c r="L1087" s="312" t="str">
        <f t="shared" si="114"/>
        <v>扩展帧CAN消息</v>
      </c>
      <c r="M1087" s="68"/>
    </row>
    <row r="1088" s="215" customFormat="1" spans="1:13">
      <c r="A1088" s="68"/>
      <c r="B1088" s="68"/>
      <c r="C1088" s="68"/>
      <c r="D1088" s="68"/>
      <c r="E1088" s="68"/>
      <c r="F1088" s="68"/>
      <c r="G1088" s="68" t="s">
        <v>675</v>
      </c>
      <c r="H1088" s="68">
        <v>192</v>
      </c>
      <c r="I1088" s="68">
        <v>16</v>
      </c>
      <c r="J1088" s="68"/>
      <c r="K1088" s="68"/>
      <c r="L1088" s="312" t="str">
        <f t="shared" si="114"/>
        <v>扩展帧CAN消息</v>
      </c>
      <c r="M1088" s="68"/>
    </row>
    <row r="1089" s="215" customFormat="1" spans="1:13">
      <c r="A1089" s="68"/>
      <c r="B1089" s="68"/>
      <c r="C1089" s="68"/>
      <c r="D1089" s="68"/>
      <c r="E1089" s="68"/>
      <c r="F1089" s="68"/>
      <c r="G1089" s="68" t="s">
        <v>20</v>
      </c>
      <c r="H1089" s="68">
        <v>208</v>
      </c>
      <c r="I1089" s="68">
        <v>4</v>
      </c>
      <c r="J1089" s="68"/>
      <c r="K1089" s="68"/>
      <c r="L1089" s="312"/>
      <c r="M1089" s="68"/>
    </row>
    <row r="1090" s="215" customFormat="1" spans="1:13">
      <c r="A1090" s="68"/>
      <c r="B1090" s="68"/>
      <c r="C1090" s="68"/>
      <c r="D1090" s="68"/>
      <c r="E1090" s="68"/>
      <c r="F1090" s="68"/>
      <c r="G1090" s="68" t="s">
        <v>676</v>
      </c>
      <c r="H1090" s="68">
        <v>212</v>
      </c>
      <c r="I1090" s="68">
        <v>16</v>
      </c>
      <c r="J1090" s="68"/>
      <c r="K1090" s="68"/>
      <c r="L1090" s="312" t="str">
        <f t="shared" ref="L1090:L1093" si="115">IF(RIGHT(G1090,5)="FRAME","扩展帧CAN消息","")</f>
        <v>扩展帧CAN消息</v>
      </c>
      <c r="M1090" s="68"/>
    </row>
    <row r="1091" s="215" customFormat="1" spans="1:13">
      <c r="A1091" s="68"/>
      <c r="B1091" s="68"/>
      <c r="C1091" s="68"/>
      <c r="D1091" s="68"/>
      <c r="E1091" s="68"/>
      <c r="F1091" s="68"/>
      <c r="G1091" s="68" t="s">
        <v>677</v>
      </c>
      <c r="H1091" s="68">
        <v>228</v>
      </c>
      <c r="I1091" s="68">
        <v>16</v>
      </c>
      <c r="J1091" s="68"/>
      <c r="K1091" s="68"/>
      <c r="L1091" s="312" t="str">
        <f t="shared" si="115"/>
        <v>扩展帧CAN消息</v>
      </c>
      <c r="M1091" s="68"/>
    </row>
    <row r="1092" s="215" customFormat="1" spans="1:13">
      <c r="A1092" s="68"/>
      <c r="B1092" s="68"/>
      <c r="C1092" s="68"/>
      <c r="D1092" s="68"/>
      <c r="E1092" s="68"/>
      <c r="F1092" s="68"/>
      <c r="G1092" s="68" t="s">
        <v>678</v>
      </c>
      <c r="H1092" s="68">
        <v>244</v>
      </c>
      <c r="I1092" s="68">
        <v>16</v>
      </c>
      <c r="J1092" s="68"/>
      <c r="K1092" s="68"/>
      <c r="L1092" s="312" t="str">
        <f t="shared" si="115"/>
        <v>扩展帧CAN消息</v>
      </c>
      <c r="M1092" s="68"/>
    </row>
    <row r="1093" s="215" customFormat="1" spans="1:13">
      <c r="A1093" s="68"/>
      <c r="B1093" s="68"/>
      <c r="C1093" s="68"/>
      <c r="D1093" s="68"/>
      <c r="E1093" s="68"/>
      <c r="F1093" s="68"/>
      <c r="G1093" s="68" t="s">
        <v>679</v>
      </c>
      <c r="H1093" s="68">
        <v>260</v>
      </c>
      <c r="I1093" s="68">
        <v>16</v>
      </c>
      <c r="J1093" s="68"/>
      <c r="K1093" s="68"/>
      <c r="L1093" s="312" t="str">
        <f t="shared" si="115"/>
        <v>扩展帧CAN消息</v>
      </c>
      <c r="M1093" s="68"/>
    </row>
    <row r="1094" s="215" customFormat="1" spans="1:13">
      <c r="A1094" s="68"/>
      <c r="B1094" s="68"/>
      <c r="C1094" s="68"/>
      <c r="D1094" s="68"/>
      <c r="E1094" s="68"/>
      <c r="F1094" s="68"/>
      <c r="G1094" s="68" t="s">
        <v>20</v>
      </c>
      <c r="H1094" s="68">
        <v>276</v>
      </c>
      <c r="I1094" s="68">
        <v>4</v>
      </c>
      <c r="J1094" s="68"/>
      <c r="K1094" s="68"/>
      <c r="L1094" s="312"/>
      <c r="M1094" s="68"/>
    </row>
    <row r="1095" s="215" customFormat="1" spans="1:13">
      <c r="A1095" s="68"/>
      <c r="B1095" s="68"/>
      <c r="C1095" s="68"/>
      <c r="D1095" s="68"/>
      <c r="E1095" s="68"/>
      <c r="F1095" s="68"/>
      <c r="G1095" s="68" t="s">
        <v>680</v>
      </c>
      <c r="H1095" s="68">
        <v>280</v>
      </c>
      <c r="I1095" s="68">
        <v>16</v>
      </c>
      <c r="J1095" s="68"/>
      <c r="K1095" s="68"/>
      <c r="L1095" s="312" t="str">
        <f t="shared" ref="L1095:L1098" si="116">IF(RIGHT(G1095,5)="FRAME","扩展帧CAN消息","")</f>
        <v>扩展帧CAN消息</v>
      </c>
      <c r="M1095" s="68"/>
    </row>
    <row r="1096" s="215" customFormat="1" spans="1:13">
      <c r="A1096" s="68"/>
      <c r="B1096" s="68"/>
      <c r="C1096" s="68"/>
      <c r="D1096" s="68"/>
      <c r="E1096" s="68"/>
      <c r="F1096" s="68"/>
      <c r="G1096" s="68" t="s">
        <v>681</v>
      </c>
      <c r="H1096" s="68">
        <v>296</v>
      </c>
      <c r="I1096" s="68">
        <v>16</v>
      </c>
      <c r="J1096" s="68"/>
      <c r="K1096" s="68"/>
      <c r="L1096" s="312" t="str">
        <f t="shared" si="116"/>
        <v>扩展帧CAN消息</v>
      </c>
      <c r="M1096" s="68"/>
    </row>
    <row r="1097" s="215" customFormat="1" spans="1:13">
      <c r="A1097" s="68"/>
      <c r="B1097" s="68"/>
      <c r="C1097" s="68"/>
      <c r="D1097" s="68"/>
      <c r="E1097" s="68"/>
      <c r="F1097" s="68"/>
      <c r="G1097" s="68" t="s">
        <v>682</v>
      </c>
      <c r="H1097" s="68">
        <v>312</v>
      </c>
      <c r="I1097" s="68">
        <v>16</v>
      </c>
      <c r="J1097" s="68"/>
      <c r="K1097" s="68"/>
      <c r="L1097" s="312" t="str">
        <f t="shared" si="116"/>
        <v>扩展帧CAN消息</v>
      </c>
      <c r="M1097" s="68"/>
    </row>
    <row r="1098" s="215" customFormat="1" spans="1:13">
      <c r="A1098" s="68"/>
      <c r="B1098" s="68"/>
      <c r="C1098" s="68"/>
      <c r="D1098" s="68"/>
      <c r="E1098" s="68"/>
      <c r="F1098" s="68"/>
      <c r="G1098" s="68" t="s">
        <v>683</v>
      </c>
      <c r="H1098" s="68">
        <v>328</v>
      </c>
      <c r="I1098" s="68">
        <v>16</v>
      </c>
      <c r="J1098" s="68"/>
      <c r="K1098" s="68"/>
      <c r="L1098" s="312" t="str">
        <f t="shared" si="116"/>
        <v>扩展帧CAN消息</v>
      </c>
      <c r="M1098" s="68"/>
    </row>
    <row r="1099" s="215" customFormat="1" spans="1:13">
      <c r="A1099" s="68"/>
      <c r="B1099" s="68"/>
      <c r="C1099" s="68"/>
      <c r="D1099" s="68"/>
      <c r="E1099" s="68"/>
      <c r="F1099" s="68"/>
      <c r="G1099" s="68" t="s">
        <v>20</v>
      </c>
      <c r="H1099" s="68">
        <v>344</v>
      </c>
      <c r="I1099" s="68">
        <v>4</v>
      </c>
      <c r="J1099" s="68"/>
      <c r="K1099" s="68"/>
      <c r="L1099" s="312"/>
      <c r="M1099" s="68"/>
    </row>
    <row r="1100" s="215" customFormat="1" spans="1:13">
      <c r="A1100" s="68"/>
      <c r="B1100" s="68"/>
      <c r="C1100" s="68"/>
      <c r="D1100" s="68"/>
      <c r="E1100" s="68"/>
      <c r="F1100" s="68"/>
      <c r="G1100" s="68" t="s">
        <v>684</v>
      </c>
      <c r="H1100" s="68">
        <v>348</v>
      </c>
      <c r="I1100" s="68">
        <v>16</v>
      </c>
      <c r="J1100" s="68"/>
      <c r="K1100" s="68"/>
      <c r="L1100" s="312" t="str">
        <f t="shared" ref="L1100:L1103" si="117">IF(RIGHT(G1100,5)="FRAME","扩展帧CAN消息","")</f>
        <v>扩展帧CAN消息</v>
      </c>
      <c r="M1100" s="68"/>
    </row>
    <row r="1101" s="215" customFormat="1" spans="1:13">
      <c r="A1101" s="68"/>
      <c r="B1101" s="68"/>
      <c r="C1101" s="68"/>
      <c r="D1101" s="68"/>
      <c r="E1101" s="68"/>
      <c r="F1101" s="68"/>
      <c r="G1101" s="68" t="s">
        <v>685</v>
      </c>
      <c r="H1101" s="68">
        <v>364</v>
      </c>
      <c r="I1101" s="68">
        <v>16</v>
      </c>
      <c r="J1101" s="68"/>
      <c r="K1101" s="68"/>
      <c r="L1101" s="312" t="str">
        <f t="shared" si="117"/>
        <v>扩展帧CAN消息</v>
      </c>
      <c r="M1101" s="68"/>
    </row>
    <row r="1102" s="215" customFormat="1" spans="1:13">
      <c r="A1102" s="68"/>
      <c r="B1102" s="68"/>
      <c r="C1102" s="68"/>
      <c r="D1102" s="68"/>
      <c r="E1102" s="68"/>
      <c r="F1102" s="68"/>
      <c r="G1102" s="68" t="s">
        <v>686</v>
      </c>
      <c r="H1102" s="68">
        <v>380</v>
      </c>
      <c r="I1102" s="68">
        <v>16</v>
      </c>
      <c r="J1102" s="68"/>
      <c r="K1102" s="68"/>
      <c r="L1102" s="312" t="str">
        <f t="shared" si="117"/>
        <v>扩展帧CAN消息</v>
      </c>
      <c r="M1102" s="68"/>
    </row>
    <row r="1103" s="215" customFormat="1" spans="1:13">
      <c r="A1103" s="68"/>
      <c r="B1103" s="68"/>
      <c r="C1103" s="68"/>
      <c r="D1103" s="68"/>
      <c r="E1103" s="68"/>
      <c r="F1103" s="68"/>
      <c r="G1103" s="68" t="s">
        <v>687</v>
      </c>
      <c r="H1103" s="68">
        <v>396</v>
      </c>
      <c r="I1103" s="68">
        <v>16</v>
      </c>
      <c r="J1103" s="68"/>
      <c r="K1103" s="68"/>
      <c r="L1103" s="312" t="str">
        <f t="shared" si="117"/>
        <v>扩展帧CAN消息</v>
      </c>
      <c r="M1103" s="68"/>
    </row>
    <row r="1104" s="215" customFormat="1" spans="1:13">
      <c r="A1104" s="68"/>
      <c r="B1104" s="68"/>
      <c r="C1104" s="68"/>
      <c r="D1104" s="68"/>
      <c r="E1104" s="68"/>
      <c r="F1104" s="68"/>
      <c r="G1104" s="68" t="s">
        <v>20</v>
      </c>
      <c r="H1104" s="68">
        <v>412</v>
      </c>
      <c r="I1104" s="68">
        <v>4</v>
      </c>
      <c r="J1104" s="68"/>
      <c r="K1104" s="68"/>
      <c r="L1104" s="312"/>
      <c r="M1104" s="68"/>
    </row>
    <row r="1105" s="215" customFormat="1" spans="1:13">
      <c r="A1105" s="68"/>
      <c r="B1105" s="68"/>
      <c r="C1105" s="68"/>
      <c r="D1105" s="68"/>
      <c r="E1105" s="68"/>
      <c r="F1105" s="68"/>
      <c r="G1105" s="68" t="s">
        <v>688</v>
      </c>
      <c r="H1105" s="68">
        <v>416</v>
      </c>
      <c r="I1105" s="68">
        <v>16</v>
      </c>
      <c r="J1105" s="68"/>
      <c r="K1105" s="68"/>
      <c r="L1105" s="312" t="str">
        <f t="shared" ref="L1105:L1108" si="118">IF(RIGHT(G1105,5)="FRAME","扩展帧CAN消息","")</f>
        <v>扩展帧CAN消息</v>
      </c>
      <c r="M1105" s="68"/>
    </row>
    <row r="1106" s="215" customFormat="1" spans="1:13">
      <c r="A1106" s="68"/>
      <c r="B1106" s="68"/>
      <c r="C1106" s="68"/>
      <c r="D1106" s="68"/>
      <c r="E1106" s="68"/>
      <c r="F1106" s="68"/>
      <c r="G1106" s="68" t="s">
        <v>689</v>
      </c>
      <c r="H1106" s="68">
        <v>432</v>
      </c>
      <c r="I1106" s="68">
        <v>16</v>
      </c>
      <c r="J1106" s="68"/>
      <c r="K1106" s="68"/>
      <c r="L1106" s="312" t="str">
        <f t="shared" si="118"/>
        <v>扩展帧CAN消息</v>
      </c>
      <c r="M1106" s="68"/>
    </row>
    <row r="1107" s="215" customFormat="1" spans="1:13">
      <c r="A1107" s="68"/>
      <c r="B1107" s="68"/>
      <c r="C1107" s="68"/>
      <c r="D1107" s="68"/>
      <c r="E1107" s="68"/>
      <c r="F1107" s="68"/>
      <c r="G1107" s="68" t="s">
        <v>690</v>
      </c>
      <c r="H1107" s="68">
        <v>448</v>
      </c>
      <c r="I1107" s="68">
        <v>16</v>
      </c>
      <c r="J1107" s="68"/>
      <c r="K1107" s="68"/>
      <c r="L1107" s="312" t="str">
        <f t="shared" si="118"/>
        <v>扩展帧CAN消息</v>
      </c>
      <c r="M1107" s="68"/>
    </row>
    <row r="1108" s="215" customFormat="1" spans="1:13">
      <c r="A1108" s="68"/>
      <c r="B1108" s="68"/>
      <c r="C1108" s="68"/>
      <c r="D1108" s="68"/>
      <c r="E1108" s="68"/>
      <c r="F1108" s="68"/>
      <c r="G1108" s="68" t="s">
        <v>691</v>
      </c>
      <c r="H1108" s="68">
        <v>464</v>
      </c>
      <c r="I1108" s="68">
        <v>16</v>
      </c>
      <c r="J1108" s="68"/>
      <c r="K1108" s="68"/>
      <c r="L1108" s="312" t="str">
        <f t="shared" si="118"/>
        <v>扩展帧CAN消息</v>
      </c>
      <c r="M1108" s="68"/>
    </row>
    <row r="1109" s="215" customFormat="1" spans="1:13">
      <c r="A1109" s="68"/>
      <c r="B1109" s="68"/>
      <c r="C1109" s="68"/>
      <c r="D1109" s="68"/>
      <c r="E1109" s="68"/>
      <c r="F1109" s="68"/>
      <c r="G1109" s="68" t="s">
        <v>20</v>
      </c>
      <c r="H1109" s="68">
        <v>480</v>
      </c>
      <c r="I1109" s="68">
        <v>4</v>
      </c>
      <c r="J1109" s="68"/>
      <c r="K1109" s="68"/>
      <c r="L1109" s="312"/>
      <c r="M1109" s="68"/>
    </row>
    <row r="1110" s="215" customFormat="1" spans="1:13">
      <c r="A1110" s="68"/>
      <c r="B1110" s="68"/>
      <c r="C1110" s="68"/>
      <c r="D1110" s="68"/>
      <c r="E1110" s="68"/>
      <c r="F1110" s="68"/>
      <c r="G1110" s="68" t="s">
        <v>692</v>
      </c>
      <c r="H1110" s="68">
        <v>484</v>
      </c>
      <c r="I1110" s="68">
        <v>16</v>
      </c>
      <c r="J1110" s="68"/>
      <c r="K1110" s="68"/>
      <c r="L1110" s="312" t="str">
        <f t="shared" ref="L1110:L1113" si="119">IF(RIGHT(G1110,5)="FRAME","扩展帧CAN消息","")</f>
        <v>扩展帧CAN消息</v>
      </c>
      <c r="M1110" s="68"/>
    </row>
    <row r="1111" s="215" customFormat="1" spans="1:13">
      <c r="A1111" s="68"/>
      <c r="B1111" s="68"/>
      <c r="C1111" s="68"/>
      <c r="D1111" s="68"/>
      <c r="E1111" s="68"/>
      <c r="F1111" s="68"/>
      <c r="G1111" s="68" t="s">
        <v>693</v>
      </c>
      <c r="H1111" s="68">
        <v>500</v>
      </c>
      <c r="I1111" s="68">
        <v>16</v>
      </c>
      <c r="J1111" s="68"/>
      <c r="K1111" s="68"/>
      <c r="L1111" s="312" t="str">
        <f t="shared" si="119"/>
        <v>扩展帧CAN消息</v>
      </c>
      <c r="M1111" s="68"/>
    </row>
    <row r="1112" s="215" customFormat="1" spans="1:13">
      <c r="A1112" s="68"/>
      <c r="B1112" s="68"/>
      <c r="C1112" s="68"/>
      <c r="D1112" s="68"/>
      <c r="E1112" s="68"/>
      <c r="F1112" s="68"/>
      <c r="G1112" s="68" t="s">
        <v>694</v>
      </c>
      <c r="H1112" s="68">
        <v>516</v>
      </c>
      <c r="I1112" s="68">
        <v>16</v>
      </c>
      <c r="J1112" s="68"/>
      <c r="K1112" s="68"/>
      <c r="L1112" s="312" t="str">
        <f t="shared" si="119"/>
        <v>扩展帧CAN消息</v>
      </c>
      <c r="M1112" s="68"/>
    </row>
    <row r="1113" s="215" customFormat="1" spans="1:13">
      <c r="A1113" s="68"/>
      <c r="B1113" s="68"/>
      <c r="C1113" s="68"/>
      <c r="D1113" s="68"/>
      <c r="E1113" s="68"/>
      <c r="F1113" s="68"/>
      <c r="G1113" s="68" t="s">
        <v>695</v>
      </c>
      <c r="H1113" s="68">
        <v>532</v>
      </c>
      <c r="I1113" s="68">
        <v>16</v>
      </c>
      <c r="J1113" s="68"/>
      <c r="K1113" s="68"/>
      <c r="L1113" s="312" t="str">
        <f t="shared" si="119"/>
        <v>扩展帧CAN消息</v>
      </c>
      <c r="M1113" s="68"/>
    </row>
    <row r="1114" s="215" customFormat="1" spans="1:13">
      <c r="A1114" s="68"/>
      <c r="B1114" s="68"/>
      <c r="C1114" s="68"/>
      <c r="D1114" s="68"/>
      <c r="E1114" s="68"/>
      <c r="F1114" s="68"/>
      <c r="G1114" s="68" t="s">
        <v>20</v>
      </c>
      <c r="H1114" s="68">
        <v>548</v>
      </c>
      <c r="I1114" s="68">
        <v>4</v>
      </c>
      <c r="J1114" s="68"/>
      <c r="K1114" s="68"/>
      <c r="L1114" s="68" t="s">
        <v>376</v>
      </c>
      <c r="M1114" s="68"/>
    </row>
    <row r="1115" s="215" customFormat="1" spans="1:13">
      <c r="A1115" s="68"/>
      <c r="B1115" s="68"/>
      <c r="C1115" s="68"/>
      <c r="D1115" s="68"/>
      <c r="E1115" s="68"/>
      <c r="F1115" s="68"/>
      <c r="G1115" s="68" t="s">
        <v>696</v>
      </c>
      <c r="H1115" s="68">
        <v>552</v>
      </c>
      <c r="I1115" s="68">
        <v>16</v>
      </c>
      <c r="J1115" s="68"/>
      <c r="K1115" s="68"/>
      <c r="L1115" s="312" t="str">
        <f t="shared" ref="L1115:L1118" si="120">IF(RIGHT(G1115,5)="FRAME","扩展帧CAN消息","")</f>
        <v>扩展帧CAN消息</v>
      </c>
      <c r="M1115" s="68"/>
    </row>
    <row r="1116" s="215" customFormat="1" spans="1:13">
      <c r="A1116" s="68"/>
      <c r="B1116" s="68"/>
      <c r="C1116" s="68"/>
      <c r="D1116" s="68"/>
      <c r="E1116" s="68"/>
      <c r="F1116" s="68"/>
      <c r="G1116" s="68" t="s">
        <v>697</v>
      </c>
      <c r="H1116" s="68">
        <v>568</v>
      </c>
      <c r="I1116" s="68">
        <v>16</v>
      </c>
      <c r="J1116" s="68"/>
      <c r="K1116" s="68"/>
      <c r="L1116" s="312" t="str">
        <f t="shared" si="120"/>
        <v>扩展帧CAN消息</v>
      </c>
      <c r="M1116" s="68"/>
    </row>
    <row r="1117" s="215" customFormat="1" spans="1:13">
      <c r="A1117" s="68"/>
      <c r="B1117" s="68"/>
      <c r="C1117" s="68"/>
      <c r="D1117" s="68"/>
      <c r="E1117" s="68"/>
      <c r="F1117" s="68"/>
      <c r="G1117" s="68" t="s">
        <v>698</v>
      </c>
      <c r="H1117" s="68">
        <v>584</v>
      </c>
      <c r="I1117" s="68">
        <v>16</v>
      </c>
      <c r="J1117" s="68"/>
      <c r="K1117" s="68"/>
      <c r="L1117" s="312" t="str">
        <f t="shared" si="120"/>
        <v>扩展帧CAN消息</v>
      </c>
      <c r="M1117" s="68"/>
    </row>
    <row r="1118" s="215" customFormat="1" spans="1:13">
      <c r="A1118" s="68"/>
      <c r="B1118" s="68"/>
      <c r="C1118" s="68"/>
      <c r="D1118" s="68"/>
      <c r="E1118" s="68"/>
      <c r="F1118" s="68"/>
      <c r="G1118" s="68" t="s">
        <v>699</v>
      </c>
      <c r="H1118" s="68">
        <v>600</v>
      </c>
      <c r="I1118" s="68">
        <v>16</v>
      </c>
      <c r="J1118" s="68"/>
      <c r="K1118" s="68"/>
      <c r="L1118" s="312" t="str">
        <f t="shared" si="120"/>
        <v>扩展帧CAN消息</v>
      </c>
      <c r="M1118" s="68"/>
    </row>
    <row r="1119" s="215" customFormat="1" spans="1:13">
      <c r="A1119" s="68"/>
      <c r="B1119" s="68"/>
      <c r="C1119" s="68"/>
      <c r="D1119" s="68"/>
      <c r="E1119" s="68"/>
      <c r="F1119" s="68"/>
      <c r="G1119" s="68" t="s">
        <v>20</v>
      </c>
      <c r="H1119" s="68">
        <v>616</v>
      </c>
      <c r="I1119" s="68">
        <v>4</v>
      </c>
      <c r="J1119" s="68"/>
      <c r="K1119" s="68"/>
      <c r="L1119" s="312"/>
      <c r="M1119" s="68"/>
    </row>
    <row r="1120" s="215" customFormat="1" spans="1:13">
      <c r="A1120" s="68"/>
      <c r="B1120" s="68"/>
      <c r="C1120" s="68"/>
      <c r="D1120" s="68"/>
      <c r="E1120" s="68"/>
      <c r="F1120" s="68"/>
      <c r="G1120" s="68" t="s">
        <v>700</v>
      </c>
      <c r="H1120" s="68">
        <v>620</v>
      </c>
      <c r="I1120" s="68">
        <v>16</v>
      </c>
      <c r="J1120" s="68"/>
      <c r="K1120" s="68"/>
      <c r="L1120" s="312" t="str">
        <f t="shared" ref="L1120:L1123" si="121">IF(RIGHT(G1120,5)="FRAME","扩展帧CAN消息","")</f>
        <v>扩展帧CAN消息</v>
      </c>
      <c r="M1120" s="68"/>
    </row>
    <row r="1121" s="215" customFormat="1" spans="1:13">
      <c r="A1121" s="68"/>
      <c r="B1121" s="68"/>
      <c r="C1121" s="68"/>
      <c r="D1121" s="68"/>
      <c r="E1121" s="68"/>
      <c r="F1121" s="68"/>
      <c r="G1121" s="68" t="s">
        <v>701</v>
      </c>
      <c r="H1121" s="68">
        <v>636</v>
      </c>
      <c r="I1121" s="68">
        <v>16</v>
      </c>
      <c r="J1121" s="68"/>
      <c r="K1121" s="68"/>
      <c r="L1121" s="312" t="str">
        <f t="shared" si="121"/>
        <v>扩展帧CAN消息</v>
      </c>
      <c r="M1121" s="68"/>
    </row>
    <row r="1122" s="215" customFormat="1" spans="1:13">
      <c r="A1122" s="68"/>
      <c r="B1122" s="68"/>
      <c r="C1122" s="68"/>
      <c r="D1122" s="68"/>
      <c r="E1122" s="68"/>
      <c r="F1122" s="68"/>
      <c r="G1122" s="68" t="s">
        <v>702</v>
      </c>
      <c r="H1122" s="68">
        <v>652</v>
      </c>
      <c r="I1122" s="68">
        <v>16</v>
      </c>
      <c r="J1122" s="68"/>
      <c r="K1122" s="68"/>
      <c r="L1122" s="312" t="str">
        <f t="shared" si="121"/>
        <v>扩展帧CAN消息</v>
      </c>
      <c r="M1122" s="68"/>
    </row>
    <row r="1123" s="215" customFormat="1" spans="1:13">
      <c r="A1123" s="68"/>
      <c r="B1123" s="68"/>
      <c r="C1123" s="68"/>
      <c r="D1123" s="68"/>
      <c r="E1123" s="68"/>
      <c r="F1123" s="68"/>
      <c r="G1123" s="68" t="s">
        <v>703</v>
      </c>
      <c r="H1123" s="68">
        <v>668</v>
      </c>
      <c r="I1123" s="68">
        <v>16</v>
      </c>
      <c r="J1123" s="68"/>
      <c r="K1123" s="68"/>
      <c r="L1123" s="312" t="str">
        <f t="shared" si="121"/>
        <v>扩展帧CAN消息</v>
      </c>
      <c r="M1123" s="68"/>
    </row>
    <row r="1124" s="215" customFormat="1" spans="1:13">
      <c r="A1124" s="68"/>
      <c r="B1124" s="68"/>
      <c r="C1124" s="68"/>
      <c r="D1124" s="68"/>
      <c r="E1124" s="68"/>
      <c r="F1124" s="68"/>
      <c r="G1124" s="68" t="s">
        <v>20</v>
      </c>
      <c r="H1124" s="68">
        <v>684</v>
      </c>
      <c r="I1124" s="68">
        <v>4</v>
      </c>
      <c r="J1124" s="68"/>
      <c r="K1124" s="68"/>
      <c r="L1124" s="312"/>
      <c r="M1124" s="68"/>
    </row>
    <row r="1125" s="215" customFormat="1" spans="1:13">
      <c r="A1125" s="68"/>
      <c r="B1125" s="68"/>
      <c r="C1125" s="68"/>
      <c r="D1125" s="68"/>
      <c r="E1125" s="68"/>
      <c r="F1125" s="68"/>
      <c r="G1125" s="68" t="s">
        <v>704</v>
      </c>
      <c r="H1125" s="68">
        <v>688</v>
      </c>
      <c r="I1125" s="68">
        <v>16</v>
      </c>
      <c r="J1125" s="68"/>
      <c r="K1125" s="68"/>
      <c r="L1125" s="312" t="str">
        <f t="shared" ref="L1125:L1128" si="122">IF(RIGHT(G1125,5)="FRAME","扩展帧CAN消息","")</f>
        <v>扩展帧CAN消息</v>
      </c>
      <c r="M1125" s="68"/>
    </row>
    <row r="1126" s="215" customFormat="1" spans="1:13">
      <c r="A1126" s="68"/>
      <c r="B1126" s="68"/>
      <c r="C1126" s="68"/>
      <c r="D1126" s="68"/>
      <c r="E1126" s="68"/>
      <c r="F1126" s="68"/>
      <c r="G1126" s="68" t="s">
        <v>705</v>
      </c>
      <c r="H1126" s="68">
        <v>704</v>
      </c>
      <c r="I1126" s="68">
        <v>16</v>
      </c>
      <c r="J1126" s="68"/>
      <c r="K1126" s="68"/>
      <c r="L1126" s="312" t="str">
        <f t="shared" si="122"/>
        <v>扩展帧CAN消息</v>
      </c>
      <c r="M1126" s="68"/>
    </row>
    <row r="1127" s="215" customFormat="1" spans="1:13">
      <c r="A1127" s="68"/>
      <c r="B1127" s="68"/>
      <c r="C1127" s="68"/>
      <c r="D1127" s="68"/>
      <c r="E1127" s="68"/>
      <c r="F1127" s="68"/>
      <c r="G1127" s="68" t="s">
        <v>706</v>
      </c>
      <c r="H1127" s="68">
        <v>720</v>
      </c>
      <c r="I1127" s="68">
        <v>16</v>
      </c>
      <c r="J1127" s="68"/>
      <c r="K1127" s="68"/>
      <c r="L1127" s="312" t="str">
        <f t="shared" si="122"/>
        <v>扩展帧CAN消息</v>
      </c>
      <c r="M1127" s="68"/>
    </row>
    <row r="1128" s="215" customFormat="1" spans="1:13">
      <c r="A1128" s="68"/>
      <c r="B1128" s="68"/>
      <c r="C1128" s="68"/>
      <c r="D1128" s="68"/>
      <c r="E1128" s="68"/>
      <c r="F1128" s="68"/>
      <c r="G1128" s="68" t="s">
        <v>707</v>
      </c>
      <c r="H1128" s="68">
        <v>736</v>
      </c>
      <c r="I1128" s="68">
        <v>16</v>
      </c>
      <c r="J1128" s="68"/>
      <c r="K1128" s="68"/>
      <c r="L1128" s="312" t="str">
        <f t="shared" si="122"/>
        <v>扩展帧CAN消息</v>
      </c>
      <c r="M1128" s="68"/>
    </row>
    <row r="1129" s="215" customFormat="1" spans="1:13">
      <c r="A1129" s="68"/>
      <c r="B1129" s="68"/>
      <c r="C1129" s="68"/>
      <c r="D1129" s="68"/>
      <c r="E1129" s="68"/>
      <c r="F1129" s="68"/>
      <c r="G1129" s="68" t="s">
        <v>20</v>
      </c>
      <c r="H1129" s="68">
        <v>752</v>
      </c>
      <c r="I1129" s="68">
        <v>4</v>
      </c>
      <c r="J1129" s="68"/>
      <c r="K1129" s="68"/>
      <c r="L1129" s="68" t="s">
        <v>376</v>
      </c>
      <c r="M1129" s="68"/>
    </row>
    <row r="1130" s="215" customFormat="1" spans="1:13">
      <c r="A1130" s="68"/>
      <c r="B1130" s="68"/>
      <c r="C1130" s="68"/>
      <c r="D1130" s="68"/>
      <c r="E1130" s="68"/>
      <c r="F1130" s="68"/>
      <c r="G1130" s="68" t="s">
        <v>708</v>
      </c>
      <c r="H1130" s="68">
        <v>756</v>
      </c>
      <c r="I1130" s="68">
        <v>16</v>
      </c>
      <c r="J1130" s="68"/>
      <c r="K1130" s="68"/>
      <c r="L1130" s="312" t="str">
        <f t="shared" ref="L1130:L1133" si="123">IF(RIGHT(G1130,5)="FRAME","扩展帧CAN消息","")</f>
        <v>扩展帧CAN消息</v>
      </c>
      <c r="M1130" s="68"/>
    </row>
    <row r="1131" s="215" customFormat="1" spans="1:13">
      <c r="A1131" s="68"/>
      <c r="B1131" s="68"/>
      <c r="C1131" s="68"/>
      <c r="D1131" s="68"/>
      <c r="E1131" s="68"/>
      <c r="F1131" s="68"/>
      <c r="G1131" s="68" t="s">
        <v>709</v>
      </c>
      <c r="H1131" s="68">
        <v>772</v>
      </c>
      <c r="I1131" s="68">
        <v>16</v>
      </c>
      <c r="J1131" s="68"/>
      <c r="K1131" s="68"/>
      <c r="L1131" s="312" t="str">
        <f t="shared" si="123"/>
        <v>扩展帧CAN消息</v>
      </c>
      <c r="M1131" s="68"/>
    </row>
    <row r="1132" s="215" customFormat="1" spans="1:13">
      <c r="A1132" s="68"/>
      <c r="B1132" s="68"/>
      <c r="C1132" s="68"/>
      <c r="D1132" s="68"/>
      <c r="E1132" s="68"/>
      <c r="F1132" s="68"/>
      <c r="G1132" s="68" t="s">
        <v>710</v>
      </c>
      <c r="H1132" s="68">
        <v>788</v>
      </c>
      <c r="I1132" s="68">
        <v>16</v>
      </c>
      <c r="J1132" s="68"/>
      <c r="K1132" s="68"/>
      <c r="L1132" s="312" t="str">
        <f t="shared" si="123"/>
        <v>扩展帧CAN消息</v>
      </c>
      <c r="M1132" s="68"/>
    </row>
    <row r="1133" s="215" customFormat="1" spans="1:13">
      <c r="A1133" s="68"/>
      <c r="B1133" s="68"/>
      <c r="C1133" s="68"/>
      <c r="D1133" s="68"/>
      <c r="E1133" s="68"/>
      <c r="F1133" s="68"/>
      <c r="G1133" s="68" t="s">
        <v>711</v>
      </c>
      <c r="H1133" s="68">
        <v>804</v>
      </c>
      <c r="I1133" s="68">
        <v>16</v>
      </c>
      <c r="J1133" s="68"/>
      <c r="K1133" s="68"/>
      <c r="L1133" s="312" t="str">
        <f t="shared" si="123"/>
        <v>扩展帧CAN消息</v>
      </c>
      <c r="M1133" s="68"/>
    </row>
    <row r="1134" s="215" customFormat="1" spans="1:13">
      <c r="A1134" s="68"/>
      <c r="B1134" s="68"/>
      <c r="C1134" s="68"/>
      <c r="D1134" s="68"/>
      <c r="E1134" s="68"/>
      <c r="F1134" s="68"/>
      <c r="G1134" s="68" t="s">
        <v>20</v>
      </c>
      <c r="H1134" s="68">
        <v>820</v>
      </c>
      <c r="I1134" s="68">
        <v>4</v>
      </c>
      <c r="J1134" s="68"/>
      <c r="K1134" s="68"/>
      <c r="L1134" s="312"/>
      <c r="M1134" s="68"/>
    </row>
    <row r="1135" s="215" customFormat="1" spans="1:13">
      <c r="A1135" s="68"/>
      <c r="B1135" s="68"/>
      <c r="C1135" s="68"/>
      <c r="D1135" s="68"/>
      <c r="E1135" s="68"/>
      <c r="F1135" s="68"/>
      <c r="G1135" s="68" t="s">
        <v>712</v>
      </c>
      <c r="H1135" s="68">
        <v>824</v>
      </c>
      <c r="I1135" s="68">
        <v>16</v>
      </c>
      <c r="J1135" s="68"/>
      <c r="K1135" s="68"/>
      <c r="L1135" s="312" t="str">
        <f t="shared" ref="L1135:L1138" si="124">IF(RIGHT(G1135,5)="FRAME","扩展帧CAN消息","")</f>
        <v>扩展帧CAN消息</v>
      </c>
      <c r="M1135" s="68"/>
    </row>
    <row r="1136" s="215" customFormat="1" spans="1:13">
      <c r="A1136" s="68"/>
      <c r="B1136" s="68"/>
      <c r="C1136" s="68"/>
      <c r="D1136" s="68"/>
      <c r="E1136" s="68"/>
      <c r="F1136" s="68"/>
      <c r="G1136" s="68" t="s">
        <v>713</v>
      </c>
      <c r="H1136" s="68">
        <v>840</v>
      </c>
      <c r="I1136" s="68">
        <v>16</v>
      </c>
      <c r="J1136" s="68"/>
      <c r="K1136" s="68"/>
      <c r="L1136" s="312" t="str">
        <f t="shared" si="124"/>
        <v>扩展帧CAN消息</v>
      </c>
      <c r="M1136" s="68"/>
    </row>
    <row r="1137" s="215" customFormat="1" spans="1:13">
      <c r="A1137" s="68"/>
      <c r="B1137" s="68"/>
      <c r="C1137" s="68"/>
      <c r="D1137" s="68"/>
      <c r="E1137" s="68"/>
      <c r="F1137" s="68"/>
      <c r="G1137" s="68" t="s">
        <v>714</v>
      </c>
      <c r="H1137" s="68">
        <v>856</v>
      </c>
      <c r="I1137" s="68">
        <v>16</v>
      </c>
      <c r="J1137" s="68"/>
      <c r="K1137" s="68"/>
      <c r="L1137" s="312" t="str">
        <f t="shared" si="124"/>
        <v>扩展帧CAN消息</v>
      </c>
      <c r="M1137" s="68"/>
    </row>
    <row r="1138" s="215" customFormat="1" spans="1:13">
      <c r="A1138" s="68"/>
      <c r="B1138" s="68"/>
      <c r="C1138" s="68"/>
      <c r="D1138" s="68"/>
      <c r="E1138" s="68"/>
      <c r="F1138" s="68"/>
      <c r="G1138" s="68" t="s">
        <v>715</v>
      </c>
      <c r="H1138" s="68">
        <v>872</v>
      </c>
      <c r="I1138" s="68">
        <v>16</v>
      </c>
      <c r="J1138" s="68"/>
      <c r="K1138" s="68"/>
      <c r="L1138" s="312" t="str">
        <f t="shared" si="124"/>
        <v>扩展帧CAN消息</v>
      </c>
      <c r="M1138" s="68"/>
    </row>
    <row r="1139" s="215" customFormat="1" spans="1:13">
      <c r="A1139" s="68"/>
      <c r="B1139" s="68"/>
      <c r="C1139" s="68"/>
      <c r="D1139" s="68"/>
      <c r="E1139" s="68"/>
      <c r="F1139" s="68"/>
      <c r="G1139" s="68" t="s">
        <v>20</v>
      </c>
      <c r="H1139" s="68">
        <v>888</v>
      </c>
      <c r="I1139" s="68">
        <v>4</v>
      </c>
      <c r="J1139" s="68"/>
      <c r="K1139" s="68"/>
      <c r="L1139" s="312"/>
      <c r="M1139" s="68"/>
    </row>
    <row r="1140" s="215" customFormat="1" spans="1:13">
      <c r="A1140" s="68"/>
      <c r="B1140" s="68"/>
      <c r="C1140" s="68"/>
      <c r="D1140" s="68"/>
      <c r="E1140" s="68"/>
      <c r="F1140" s="68"/>
      <c r="G1140" s="68" t="s">
        <v>716</v>
      </c>
      <c r="H1140" s="68">
        <v>892</v>
      </c>
      <c r="I1140" s="68">
        <v>16</v>
      </c>
      <c r="J1140" s="68"/>
      <c r="K1140" s="68"/>
      <c r="L1140" s="312" t="str">
        <f t="shared" ref="L1140:L1143" si="125">IF(RIGHT(G1140,5)="FRAME","扩展帧CAN消息","")</f>
        <v>扩展帧CAN消息</v>
      </c>
      <c r="M1140" s="68"/>
    </row>
    <row r="1141" s="215" customFormat="1" spans="1:13">
      <c r="A1141" s="68"/>
      <c r="B1141" s="68"/>
      <c r="C1141" s="68"/>
      <c r="D1141" s="68"/>
      <c r="E1141" s="68"/>
      <c r="F1141" s="68"/>
      <c r="G1141" s="68" t="s">
        <v>717</v>
      </c>
      <c r="H1141" s="68">
        <v>908</v>
      </c>
      <c r="I1141" s="68">
        <v>16</v>
      </c>
      <c r="J1141" s="68"/>
      <c r="K1141" s="68"/>
      <c r="L1141" s="312" t="str">
        <f t="shared" si="125"/>
        <v>扩展帧CAN消息</v>
      </c>
      <c r="M1141" s="68"/>
    </row>
    <row r="1142" s="215" customFormat="1" spans="1:13">
      <c r="A1142" s="68"/>
      <c r="B1142" s="68"/>
      <c r="C1142" s="68"/>
      <c r="D1142" s="68"/>
      <c r="E1142" s="68"/>
      <c r="F1142" s="68"/>
      <c r="G1142" s="68" t="s">
        <v>718</v>
      </c>
      <c r="H1142" s="68">
        <v>924</v>
      </c>
      <c r="I1142" s="68">
        <v>16</v>
      </c>
      <c r="J1142" s="68"/>
      <c r="K1142" s="68"/>
      <c r="L1142" s="312" t="str">
        <f t="shared" si="125"/>
        <v>扩展帧CAN消息</v>
      </c>
      <c r="M1142" s="68"/>
    </row>
    <row r="1143" s="215" customFormat="1" spans="1:13">
      <c r="A1143" s="68"/>
      <c r="B1143" s="68"/>
      <c r="C1143" s="68"/>
      <c r="D1143" s="68"/>
      <c r="E1143" s="68"/>
      <c r="F1143" s="68"/>
      <c r="G1143" s="68" t="s">
        <v>719</v>
      </c>
      <c r="H1143" s="68">
        <v>940</v>
      </c>
      <c r="I1143" s="68">
        <v>16</v>
      </c>
      <c r="J1143" s="68"/>
      <c r="K1143" s="68"/>
      <c r="L1143" s="312" t="str">
        <f t="shared" si="125"/>
        <v>扩展帧CAN消息</v>
      </c>
      <c r="M1143" s="68"/>
    </row>
    <row r="1144" s="215" customFormat="1" spans="1:13">
      <c r="A1144" s="68"/>
      <c r="B1144" s="68"/>
      <c r="C1144" s="68"/>
      <c r="D1144" s="68"/>
      <c r="E1144" s="68"/>
      <c r="F1144" s="68"/>
      <c r="G1144" s="68" t="s">
        <v>20</v>
      </c>
      <c r="H1144" s="68">
        <v>956</v>
      </c>
      <c r="I1144" s="68">
        <v>4</v>
      </c>
      <c r="J1144" s="68"/>
      <c r="K1144" s="68"/>
      <c r="L1144" s="68" t="s">
        <v>376</v>
      </c>
      <c r="M1144" s="68"/>
    </row>
    <row r="1145" s="215" customFormat="1" spans="1:13">
      <c r="A1145" s="68"/>
      <c r="B1145" s="68"/>
      <c r="C1145" s="68"/>
      <c r="D1145" s="68"/>
      <c r="E1145" s="68"/>
      <c r="F1145" s="68"/>
      <c r="G1145" s="68" t="s">
        <v>720</v>
      </c>
      <c r="H1145" s="68">
        <v>960</v>
      </c>
      <c r="I1145" s="68">
        <v>16</v>
      </c>
      <c r="J1145" s="68"/>
      <c r="K1145" s="68"/>
      <c r="L1145" s="312" t="str">
        <f t="shared" ref="L1145:L1148" si="126">IF(RIGHT(G1145,5)="FRAME","扩展帧CAN消息","")</f>
        <v>扩展帧CAN消息</v>
      </c>
      <c r="M1145" s="68"/>
    </row>
    <row r="1146" s="215" customFormat="1" spans="1:13">
      <c r="A1146" s="68"/>
      <c r="B1146" s="68"/>
      <c r="C1146" s="68"/>
      <c r="D1146" s="68"/>
      <c r="E1146" s="68"/>
      <c r="F1146" s="68"/>
      <c r="G1146" s="68" t="s">
        <v>721</v>
      </c>
      <c r="H1146" s="68">
        <v>976</v>
      </c>
      <c r="I1146" s="68">
        <v>16</v>
      </c>
      <c r="J1146" s="68"/>
      <c r="K1146" s="68"/>
      <c r="L1146" s="312" t="str">
        <f t="shared" si="126"/>
        <v>扩展帧CAN消息</v>
      </c>
      <c r="M1146" s="68"/>
    </row>
    <row r="1147" s="215" customFormat="1" spans="1:13">
      <c r="A1147" s="68"/>
      <c r="B1147" s="68"/>
      <c r="C1147" s="68"/>
      <c r="D1147" s="68"/>
      <c r="E1147" s="68"/>
      <c r="F1147" s="68"/>
      <c r="G1147" s="68" t="s">
        <v>722</v>
      </c>
      <c r="H1147" s="68">
        <v>992</v>
      </c>
      <c r="I1147" s="68">
        <v>16</v>
      </c>
      <c r="J1147" s="68"/>
      <c r="K1147" s="68"/>
      <c r="L1147" s="312" t="str">
        <f t="shared" si="126"/>
        <v>扩展帧CAN消息</v>
      </c>
      <c r="M1147" s="68"/>
    </row>
    <row r="1148" s="215" customFormat="1" spans="1:13">
      <c r="A1148" s="68"/>
      <c r="B1148" s="68"/>
      <c r="C1148" s="68"/>
      <c r="D1148" s="68"/>
      <c r="E1148" s="68"/>
      <c r="F1148" s="68"/>
      <c r="G1148" s="68" t="s">
        <v>723</v>
      </c>
      <c r="H1148" s="68">
        <v>1008</v>
      </c>
      <c r="I1148" s="68">
        <v>16</v>
      </c>
      <c r="J1148" s="68"/>
      <c r="K1148" s="68"/>
      <c r="L1148" s="312" t="str">
        <f t="shared" si="126"/>
        <v>扩展帧CAN消息</v>
      </c>
      <c r="M1148" s="68"/>
    </row>
    <row r="1149" s="215" customFormat="1" spans="1:13">
      <c r="A1149" s="68"/>
      <c r="B1149" s="68"/>
      <c r="C1149" s="68"/>
      <c r="D1149" s="68"/>
      <c r="E1149" s="68"/>
      <c r="F1149" s="68"/>
      <c r="G1149" s="68" t="s">
        <v>20</v>
      </c>
      <c r="H1149" s="68">
        <v>1024</v>
      </c>
      <c r="I1149" s="68">
        <v>4</v>
      </c>
      <c r="J1149" s="68"/>
      <c r="K1149" s="68"/>
      <c r="L1149" s="312"/>
      <c r="M1149" s="68"/>
    </row>
    <row r="1150" s="215" customFormat="1" spans="1:13">
      <c r="A1150" s="68"/>
      <c r="B1150" s="68"/>
      <c r="C1150" s="68"/>
      <c r="D1150" s="68"/>
      <c r="E1150" s="68"/>
      <c r="F1150" s="68"/>
      <c r="G1150" s="68" t="s">
        <v>724</v>
      </c>
      <c r="H1150" s="68">
        <v>1028</v>
      </c>
      <c r="I1150" s="68">
        <v>16</v>
      </c>
      <c r="J1150" s="68"/>
      <c r="K1150" s="68"/>
      <c r="L1150" s="312" t="str">
        <f t="shared" ref="L1150:L1153" si="127">IF(RIGHT(G1150,5)="FRAME","扩展帧CAN消息","")</f>
        <v>扩展帧CAN消息</v>
      </c>
      <c r="M1150" s="68"/>
    </row>
    <row r="1151" s="215" customFormat="1" spans="1:13">
      <c r="A1151" s="68"/>
      <c r="B1151" s="68"/>
      <c r="C1151" s="68"/>
      <c r="D1151" s="68"/>
      <c r="E1151" s="68"/>
      <c r="F1151" s="68"/>
      <c r="G1151" s="68" t="s">
        <v>725</v>
      </c>
      <c r="H1151" s="68">
        <v>1044</v>
      </c>
      <c r="I1151" s="68">
        <v>16</v>
      </c>
      <c r="J1151" s="68"/>
      <c r="K1151" s="68"/>
      <c r="L1151" s="312" t="str">
        <f t="shared" si="127"/>
        <v>扩展帧CAN消息</v>
      </c>
      <c r="M1151" s="68"/>
    </row>
    <row r="1152" s="215" customFormat="1" spans="1:13">
      <c r="A1152" s="68"/>
      <c r="B1152" s="68"/>
      <c r="C1152" s="68"/>
      <c r="D1152" s="68"/>
      <c r="E1152" s="68"/>
      <c r="F1152" s="68"/>
      <c r="G1152" s="68" t="s">
        <v>726</v>
      </c>
      <c r="H1152" s="68">
        <v>1060</v>
      </c>
      <c r="I1152" s="68">
        <v>16</v>
      </c>
      <c r="J1152" s="68"/>
      <c r="K1152" s="68"/>
      <c r="L1152" s="312" t="str">
        <f t="shared" si="127"/>
        <v>扩展帧CAN消息</v>
      </c>
      <c r="M1152" s="68"/>
    </row>
    <row r="1153" s="215" customFormat="1" spans="1:13">
      <c r="A1153" s="68"/>
      <c r="B1153" s="68"/>
      <c r="C1153" s="68"/>
      <c r="D1153" s="68"/>
      <c r="E1153" s="68"/>
      <c r="F1153" s="68"/>
      <c r="G1153" s="68" t="s">
        <v>727</v>
      </c>
      <c r="H1153" s="68">
        <v>1076</v>
      </c>
      <c r="I1153" s="68">
        <v>16</v>
      </c>
      <c r="J1153" s="68"/>
      <c r="K1153" s="68"/>
      <c r="L1153" s="312" t="str">
        <f t="shared" si="127"/>
        <v>扩展帧CAN消息</v>
      </c>
      <c r="M1153" s="68"/>
    </row>
    <row r="1154" s="215" customFormat="1" spans="1:13">
      <c r="A1154" s="68"/>
      <c r="B1154" s="68"/>
      <c r="C1154" s="68"/>
      <c r="D1154" s="68"/>
      <c r="E1154" s="68"/>
      <c r="F1154" s="68"/>
      <c r="G1154" s="68" t="s">
        <v>20</v>
      </c>
      <c r="H1154" s="68">
        <v>1092</v>
      </c>
      <c r="I1154" s="68">
        <v>4</v>
      </c>
      <c r="J1154" s="68"/>
      <c r="K1154" s="68"/>
      <c r="L1154" s="312"/>
      <c r="M1154" s="68"/>
    </row>
    <row r="1155" s="215" customFormat="1" spans="1:13">
      <c r="A1155" s="68"/>
      <c r="B1155" s="68"/>
      <c r="C1155" s="68"/>
      <c r="D1155" s="68"/>
      <c r="E1155" s="68"/>
      <c r="F1155" s="68"/>
      <c r="G1155" s="68" t="s">
        <v>728</v>
      </c>
      <c r="H1155" s="68">
        <v>1096</v>
      </c>
      <c r="I1155" s="68">
        <v>16</v>
      </c>
      <c r="J1155" s="68"/>
      <c r="K1155" s="68"/>
      <c r="L1155" s="312" t="str">
        <f t="shared" ref="L1155:L1161" si="128">IF(RIGHT(G1155,5)="FRAME","扩展帧CAN消息","")</f>
        <v>扩展帧CAN消息</v>
      </c>
      <c r="M1155" s="68"/>
    </row>
    <row r="1156" s="215" customFormat="1" spans="1:13">
      <c r="A1156" s="68" t="s">
        <v>410</v>
      </c>
      <c r="B1156" s="68" t="s">
        <v>729</v>
      </c>
      <c r="C1156" s="68" t="s">
        <v>213</v>
      </c>
      <c r="D1156" s="68" t="s">
        <v>317</v>
      </c>
      <c r="E1156" s="68">
        <v>7068</v>
      </c>
      <c r="F1156" s="68" t="s">
        <v>86</v>
      </c>
      <c r="G1156" s="68" t="s">
        <v>18</v>
      </c>
      <c r="H1156" s="68">
        <v>0</v>
      </c>
      <c r="I1156" s="68">
        <v>4</v>
      </c>
      <c r="J1156" s="70" t="s">
        <v>77</v>
      </c>
      <c r="K1156" s="70">
        <v>1000</v>
      </c>
      <c r="L1156" s="312"/>
      <c r="M1156" s="68">
        <v>1102201</v>
      </c>
    </row>
    <row r="1157" s="215" customFormat="1" spans="1:13">
      <c r="A1157" s="68"/>
      <c r="B1157" s="68"/>
      <c r="C1157" s="68"/>
      <c r="D1157" s="68"/>
      <c r="E1157" s="68"/>
      <c r="F1157" s="68"/>
      <c r="G1157" s="68" t="s">
        <v>20</v>
      </c>
      <c r="H1157" s="68">
        <v>4</v>
      </c>
      <c r="I1157" s="68">
        <v>4</v>
      </c>
      <c r="J1157" s="70"/>
      <c r="K1157" s="70"/>
      <c r="L1157" s="312"/>
      <c r="M1157" s="68"/>
    </row>
    <row r="1158" s="215" customFormat="1" spans="1:13">
      <c r="A1158" s="68"/>
      <c r="B1158" s="68"/>
      <c r="C1158" s="68"/>
      <c r="D1158" s="68"/>
      <c r="E1158" s="68"/>
      <c r="F1158" s="68"/>
      <c r="G1158" s="68" t="s">
        <v>730</v>
      </c>
      <c r="H1158" s="68">
        <f t="shared" ref="H1158:H1205" si="129">H1157+I1157</f>
        <v>8</v>
      </c>
      <c r="I1158" s="68">
        <v>16</v>
      </c>
      <c r="J1158" s="70"/>
      <c r="K1158" s="70"/>
      <c r="L1158" s="312" t="str">
        <f t="shared" si="128"/>
        <v>扩展帧CAN消息</v>
      </c>
      <c r="M1158" s="68"/>
    </row>
    <row r="1159" s="215" customFormat="1" spans="1:13">
      <c r="A1159" s="68"/>
      <c r="B1159" s="68"/>
      <c r="C1159" s="68"/>
      <c r="D1159" s="68"/>
      <c r="E1159" s="68"/>
      <c r="F1159" s="68"/>
      <c r="G1159" s="68" t="s">
        <v>731</v>
      </c>
      <c r="H1159" s="68">
        <f t="shared" si="129"/>
        <v>24</v>
      </c>
      <c r="I1159" s="68">
        <v>16</v>
      </c>
      <c r="J1159" s="70"/>
      <c r="K1159" s="70"/>
      <c r="L1159" s="312" t="str">
        <f t="shared" si="128"/>
        <v>扩展帧CAN消息</v>
      </c>
      <c r="M1159" s="68"/>
    </row>
    <row r="1160" s="215" customFormat="1" spans="1:13">
      <c r="A1160" s="68"/>
      <c r="B1160" s="68"/>
      <c r="C1160" s="68"/>
      <c r="D1160" s="68"/>
      <c r="E1160" s="68"/>
      <c r="F1160" s="68"/>
      <c r="G1160" s="68" t="s">
        <v>732</v>
      </c>
      <c r="H1160" s="68">
        <f t="shared" si="129"/>
        <v>40</v>
      </c>
      <c r="I1160" s="68">
        <v>16</v>
      </c>
      <c r="J1160" s="70"/>
      <c r="K1160" s="70"/>
      <c r="L1160" s="312" t="str">
        <f t="shared" si="128"/>
        <v>扩展帧CAN消息</v>
      </c>
      <c r="M1160" s="68"/>
    </row>
    <row r="1161" s="215" customFormat="1" spans="1:13">
      <c r="A1161" s="68"/>
      <c r="B1161" s="68"/>
      <c r="C1161" s="68"/>
      <c r="D1161" s="68"/>
      <c r="E1161" s="68"/>
      <c r="F1161" s="68"/>
      <c r="G1161" s="68" t="s">
        <v>733</v>
      </c>
      <c r="H1161" s="68">
        <f t="shared" si="129"/>
        <v>56</v>
      </c>
      <c r="I1161" s="68">
        <v>16</v>
      </c>
      <c r="J1161" s="70"/>
      <c r="K1161" s="70"/>
      <c r="L1161" s="312" t="str">
        <f t="shared" si="128"/>
        <v>扩展帧CAN消息</v>
      </c>
      <c r="M1161" s="68"/>
    </row>
    <row r="1162" s="215" customFormat="1" spans="1:13">
      <c r="A1162" s="68"/>
      <c r="B1162" s="68"/>
      <c r="C1162" s="68"/>
      <c r="D1162" s="68"/>
      <c r="E1162" s="68"/>
      <c r="F1162" s="68"/>
      <c r="G1162" s="68" t="s">
        <v>20</v>
      </c>
      <c r="H1162" s="68">
        <f t="shared" si="129"/>
        <v>72</v>
      </c>
      <c r="I1162" s="68">
        <v>4</v>
      </c>
      <c r="J1162" s="70"/>
      <c r="K1162" s="70"/>
      <c r="L1162" s="312"/>
      <c r="M1162" s="68"/>
    </row>
    <row r="1163" s="215" customFormat="1" spans="1:13">
      <c r="A1163" s="68"/>
      <c r="B1163" s="68"/>
      <c r="C1163" s="68"/>
      <c r="D1163" s="68"/>
      <c r="E1163" s="68"/>
      <c r="F1163" s="68"/>
      <c r="G1163" s="68" t="s">
        <v>734</v>
      </c>
      <c r="H1163" s="68">
        <f t="shared" si="129"/>
        <v>76</v>
      </c>
      <c r="I1163" s="68">
        <v>16</v>
      </c>
      <c r="J1163" s="70"/>
      <c r="K1163" s="70"/>
      <c r="L1163" s="312" t="str">
        <f t="shared" ref="L1163:L1166" si="130">IF(RIGHT(G1163,5)="FRAME","扩展帧CAN消息","")</f>
        <v>扩展帧CAN消息</v>
      </c>
      <c r="M1163" s="68"/>
    </row>
    <row r="1164" s="215" customFormat="1" spans="1:13">
      <c r="A1164" s="68"/>
      <c r="B1164" s="68"/>
      <c r="C1164" s="68"/>
      <c r="D1164" s="68"/>
      <c r="E1164" s="68"/>
      <c r="F1164" s="68"/>
      <c r="G1164" s="68" t="s">
        <v>735</v>
      </c>
      <c r="H1164" s="68">
        <f t="shared" si="129"/>
        <v>92</v>
      </c>
      <c r="I1164" s="68">
        <v>16</v>
      </c>
      <c r="J1164" s="70"/>
      <c r="K1164" s="70"/>
      <c r="L1164" s="312" t="str">
        <f t="shared" si="130"/>
        <v>扩展帧CAN消息</v>
      </c>
      <c r="M1164" s="68"/>
    </row>
    <row r="1165" s="215" customFormat="1" spans="1:13">
      <c r="A1165" s="68"/>
      <c r="B1165" s="68"/>
      <c r="C1165" s="68"/>
      <c r="D1165" s="68"/>
      <c r="E1165" s="68"/>
      <c r="F1165" s="68"/>
      <c r="G1165" s="68" t="s">
        <v>736</v>
      </c>
      <c r="H1165" s="68">
        <f t="shared" si="129"/>
        <v>108</v>
      </c>
      <c r="I1165" s="68">
        <v>16</v>
      </c>
      <c r="J1165" s="70"/>
      <c r="K1165" s="70"/>
      <c r="L1165" s="312" t="str">
        <f t="shared" si="130"/>
        <v>扩展帧CAN消息</v>
      </c>
      <c r="M1165" s="68"/>
    </row>
    <row r="1166" s="215" customFormat="1" spans="1:13">
      <c r="A1166" s="68"/>
      <c r="B1166" s="68"/>
      <c r="C1166" s="68"/>
      <c r="D1166" s="68"/>
      <c r="E1166" s="68"/>
      <c r="F1166" s="68"/>
      <c r="G1166" s="68" t="s">
        <v>737</v>
      </c>
      <c r="H1166" s="68">
        <f t="shared" si="129"/>
        <v>124</v>
      </c>
      <c r="I1166" s="68">
        <v>16</v>
      </c>
      <c r="J1166" s="70"/>
      <c r="K1166" s="70"/>
      <c r="L1166" s="312" t="str">
        <f t="shared" si="130"/>
        <v>扩展帧CAN消息</v>
      </c>
      <c r="M1166" s="68"/>
    </row>
    <row r="1167" s="215" customFormat="1" spans="1:13">
      <c r="A1167" s="68"/>
      <c r="B1167" s="68"/>
      <c r="C1167" s="68"/>
      <c r="D1167" s="68"/>
      <c r="E1167" s="68"/>
      <c r="F1167" s="68"/>
      <c r="G1167" s="68" t="s">
        <v>20</v>
      </c>
      <c r="H1167" s="68">
        <f t="shared" si="129"/>
        <v>140</v>
      </c>
      <c r="I1167" s="68">
        <v>4</v>
      </c>
      <c r="J1167" s="70"/>
      <c r="K1167" s="70"/>
      <c r="L1167" s="312"/>
      <c r="M1167" s="68"/>
    </row>
    <row r="1168" s="215" customFormat="1" spans="1:13">
      <c r="A1168" s="68"/>
      <c r="B1168" s="68"/>
      <c r="C1168" s="68"/>
      <c r="D1168" s="68"/>
      <c r="E1168" s="68"/>
      <c r="F1168" s="68"/>
      <c r="G1168" s="68" t="s">
        <v>738</v>
      </c>
      <c r="H1168" s="68">
        <f t="shared" si="129"/>
        <v>144</v>
      </c>
      <c r="I1168" s="68">
        <v>16</v>
      </c>
      <c r="J1168" s="70"/>
      <c r="K1168" s="70"/>
      <c r="L1168" s="312" t="str">
        <f t="shared" ref="L1168:L1171" si="131">IF(RIGHT(G1168,5)="FRAME","扩展帧CAN消息","")</f>
        <v>扩展帧CAN消息</v>
      </c>
      <c r="M1168" s="68"/>
    </row>
    <row r="1169" s="215" customFormat="1" spans="1:13">
      <c r="A1169" s="68"/>
      <c r="B1169" s="68"/>
      <c r="C1169" s="68"/>
      <c r="D1169" s="68"/>
      <c r="E1169" s="68"/>
      <c r="F1169" s="68"/>
      <c r="G1169" s="68" t="s">
        <v>739</v>
      </c>
      <c r="H1169" s="68">
        <f t="shared" si="129"/>
        <v>160</v>
      </c>
      <c r="I1169" s="68">
        <v>16</v>
      </c>
      <c r="J1169" s="70"/>
      <c r="K1169" s="70"/>
      <c r="L1169" s="312" t="str">
        <f t="shared" si="131"/>
        <v>扩展帧CAN消息</v>
      </c>
      <c r="M1169" s="68"/>
    </row>
    <row r="1170" s="215" customFormat="1" spans="1:13">
      <c r="A1170" s="68"/>
      <c r="B1170" s="68"/>
      <c r="C1170" s="68"/>
      <c r="D1170" s="68"/>
      <c r="E1170" s="68"/>
      <c r="F1170" s="68"/>
      <c r="G1170" s="68" t="s">
        <v>740</v>
      </c>
      <c r="H1170" s="68">
        <f t="shared" si="129"/>
        <v>176</v>
      </c>
      <c r="I1170" s="68">
        <v>16</v>
      </c>
      <c r="J1170" s="70"/>
      <c r="K1170" s="70"/>
      <c r="L1170" s="312" t="str">
        <f t="shared" si="131"/>
        <v>扩展帧CAN消息</v>
      </c>
      <c r="M1170" s="68"/>
    </row>
    <row r="1171" s="215" customFormat="1" spans="1:13">
      <c r="A1171" s="68"/>
      <c r="B1171" s="68"/>
      <c r="C1171" s="68"/>
      <c r="D1171" s="68"/>
      <c r="E1171" s="68"/>
      <c r="F1171" s="68"/>
      <c r="G1171" s="68" t="s">
        <v>741</v>
      </c>
      <c r="H1171" s="68">
        <f t="shared" si="129"/>
        <v>192</v>
      </c>
      <c r="I1171" s="68">
        <v>16</v>
      </c>
      <c r="J1171" s="70"/>
      <c r="K1171" s="70"/>
      <c r="L1171" s="312" t="str">
        <f t="shared" si="131"/>
        <v>扩展帧CAN消息</v>
      </c>
      <c r="M1171" s="68"/>
    </row>
    <row r="1172" s="215" customFormat="1" spans="1:13">
      <c r="A1172" s="68"/>
      <c r="B1172" s="68"/>
      <c r="C1172" s="68"/>
      <c r="D1172" s="68"/>
      <c r="E1172" s="68"/>
      <c r="F1172" s="68"/>
      <c r="G1172" s="68" t="s">
        <v>20</v>
      </c>
      <c r="H1172" s="68">
        <f t="shared" si="129"/>
        <v>208</v>
      </c>
      <c r="I1172" s="68">
        <v>4</v>
      </c>
      <c r="J1172" s="70"/>
      <c r="K1172" s="70"/>
      <c r="L1172" s="312"/>
      <c r="M1172" s="68"/>
    </row>
    <row r="1173" s="215" customFormat="1" spans="1:13">
      <c r="A1173" s="68"/>
      <c r="B1173" s="68"/>
      <c r="C1173" s="68"/>
      <c r="D1173" s="68"/>
      <c r="E1173" s="68"/>
      <c r="F1173" s="68"/>
      <c r="G1173" s="68" t="s">
        <v>742</v>
      </c>
      <c r="H1173" s="68">
        <f t="shared" si="129"/>
        <v>212</v>
      </c>
      <c r="I1173" s="68">
        <v>16</v>
      </c>
      <c r="J1173" s="70"/>
      <c r="K1173" s="70"/>
      <c r="L1173" s="312" t="str">
        <f t="shared" ref="L1173:L1176" si="132">IF(RIGHT(G1173,5)="FRAME","扩展帧CAN消息","")</f>
        <v>扩展帧CAN消息</v>
      </c>
      <c r="M1173" s="68"/>
    </row>
    <row r="1174" s="215" customFormat="1" spans="1:13">
      <c r="A1174" s="68"/>
      <c r="B1174" s="68"/>
      <c r="C1174" s="68"/>
      <c r="D1174" s="68"/>
      <c r="E1174" s="68"/>
      <c r="F1174" s="68"/>
      <c r="G1174" s="68" t="s">
        <v>743</v>
      </c>
      <c r="H1174" s="68">
        <f t="shared" si="129"/>
        <v>228</v>
      </c>
      <c r="I1174" s="68">
        <v>16</v>
      </c>
      <c r="J1174" s="70"/>
      <c r="K1174" s="70"/>
      <c r="L1174" s="312" t="str">
        <f t="shared" si="132"/>
        <v>扩展帧CAN消息</v>
      </c>
      <c r="M1174" s="68"/>
    </row>
    <row r="1175" s="215" customFormat="1" spans="1:13">
      <c r="A1175" s="68"/>
      <c r="B1175" s="68"/>
      <c r="C1175" s="68"/>
      <c r="D1175" s="68"/>
      <c r="E1175" s="68"/>
      <c r="F1175" s="68"/>
      <c r="G1175" s="68" t="s">
        <v>744</v>
      </c>
      <c r="H1175" s="68">
        <f t="shared" si="129"/>
        <v>244</v>
      </c>
      <c r="I1175" s="68">
        <v>16</v>
      </c>
      <c r="J1175" s="70"/>
      <c r="K1175" s="70"/>
      <c r="L1175" s="312" t="str">
        <f t="shared" si="132"/>
        <v>扩展帧CAN消息</v>
      </c>
      <c r="M1175" s="68"/>
    </row>
    <row r="1176" s="215" customFormat="1" spans="1:13">
      <c r="A1176" s="68"/>
      <c r="B1176" s="68"/>
      <c r="C1176" s="68"/>
      <c r="D1176" s="68"/>
      <c r="E1176" s="68"/>
      <c r="F1176" s="68"/>
      <c r="G1176" s="68" t="s">
        <v>745</v>
      </c>
      <c r="H1176" s="68">
        <f t="shared" si="129"/>
        <v>260</v>
      </c>
      <c r="I1176" s="68">
        <v>16</v>
      </c>
      <c r="J1176" s="70"/>
      <c r="K1176" s="70"/>
      <c r="L1176" s="312" t="str">
        <f t="shared" si="132"/>
        <v>扩展帧CAN消息</v>
      </c>
      <c r="M1176" s="68"/>
    </row>
    <row r="1177" s="215" customFormat="1" spans="1:13">
      <c r="A1177" s="68"/>
      <c r="B1177" s="68"/>
      <c r="C1177" s="68"/>
      <c r="D1177" s="68"/>
      <c r="E1177" s="68"/>
      <c r="F1177" s="68"/>
      <c r="G1177" s="68" t="s">
        <v>20</v>
      </c>
      <c r="H1177" s="68">
        <f t="shared" si="129"/>
        <v>276</v>
      </c>
      <c r="I1177" s="68">
        <v>4</v>
      </c>
      <c r="J1177" s="70"/>
      <c r="K1177" s="70"/>
      <c r="L1177" s="312"/>
      <c r="M1177" s="68"/>
    </row>
    <row r="1178" s="215" customFormat="1" spans="1:13">
      <c r="A1178" s="68"/>
      <c r="B1178" s="68"/>
      <c r="C1178" s="68"/>
      <c r="D1178" s="68"/>
      <c r="E1178" s="68"/>
      <c r="F1178" s="68"/>
      <c r="G1178" s="68" t="s">
        <v>746</v>
      </c>
      <c r="H1178" s="68">
        <f t="shared" si="129"/>
        <v>280</v>
      </c>
      <c r="I1178" s="68">
        <v>16</v>
      </c>
      <c r="J1178" s="70"/>
      <c r="K1178" s="70"/>
      <c r="L1178" s="312" t="str">
        <f t="shared" ref="L1178:L1181" si="133">IF(RIGHT(G1178,5)="FRAME","扩展帧CAN消息","")</f>
        <v>扩展帧CAN消息</v>
      </c>
      <c r="M1178" s="68"/>
    </row>
    <row r="1179" s="215" customFormat="1" spans="1:13">
      <c r="A1179" s="68"/>
      <c r="B1179" s="68"/>
      <c r="C1179" s="68"/>
      <c r="D1179" s="68"/>
      <c r="E1179" s="68"/>
      <c r="F1179" s="68"/>
      <c r="G1179" s="68" t="s">
        <v>747</v>
      </c>
      <c r="H1179" s="68">
        <f t="shared" si="129"/>
        <v>296</v>
      </c>
      <c r="I1179" s="68">
        <v>16</v>
      </c>
      <c r="J1179" s="70"/>
      <c r="K1179" s="70"/>
      <c r="L1179" s="312" t="str">
        <f t="shared" si="133"/>
        <v>扩展帧CAN消息</v>
      </c>
      <c r="M1179" s="68"/>
    </row>
    <row r="1180" s="215" customFormat="1" spans="1:13">
      <c r="A1180" s="68"/>
      <c r="B1180" s="68"/>
      <c r="C1180" s="68"/>
      <c r="D1180" s="68"/>
      <c r="E1180" s="68"/>
      <c r="F1180" s="68"/>
      <c r="G1180" s="68" t="s">
        <v>748</v>
      </c>
      <c r="H1180" s="68">
        <f t="shared" si="129"/>
        <v>312</v>
      </c>
      <c r="I1180" s="68">
        <v>16</v>
      </c>
      <c r="J1180" s="70"/>
      <c r="K1180" s="70"/>
      <c r="L1180" s="312" t="str">
        <f t="shared" si="133"/>
        <v>扩展帧CAN消息</v>
      </c>
      <c r="M1180" s="68"/>
    </row>
    <row r="1181" s="215" customFormat="1" spans="1:13">
      <c r="A1181" s="68"/>
      <c r="B1181" s="68"/>
      <c r="C1181" s="68"/>
      <c r="D1181" s="68"/>
      <c r="E1181" s="68"/>
      <c r="F1181" s="68"/>
      <c r="G1181" s="68" t="s">
        <v>749</v>
      </c>
      <c r="H1181" s="68">
        <f t="shared" si="129"/>
        <v>328</v>
      </c>
      <c r="I1181" s="68">
        <v>16</v>
      </c>
      <c r="J1181" s="70"/>
      <c r="K1181" s="70"/>
      <c r="L1181" s="312" t="str">
        <f t="shared" si="133"/>
        <v>扩展帧CAN消息</v>
      </c>
      <c r="M1181" s="68"/>
    </row>
    <row r="1182" s="215" customFormat="1" spans="1:13">
      <c r="A1182" s="68"/>
      <c r="B1182" s="68"/>
      <c r="C1182" s="68"/>
      <c r="D1182" s="68"/>
      <c r="E1182" s="68"/>
      <c r="F1182" s="68"/>
      <c r="G1182" s="68" t="s">
        <v>20</v>
      </c>
      <c r="H1182" s="68">
        <f t="shared" si="129"/>
        <v>344</v>
      </c>
      <c r="I1182" s="68">
        <v>4</v>
      </c>
      <c r="J1182" s="70"/>
      <c r="K1182" s="70"/>
      <c r="L1182" s="312"/>
      <c r="M1182" s="68"/>
    </row>
    <row r="1183" s="215" customFormat="1" spans="1:13">
      <c r="A1183" s="68"/>
      <c r="B1183" s="68"/>
      <c r="C1183" s="68"/>
      <c r="D1183" s="68"/>
      <c r="E1183" s="68"/>
      <c r="F1183" s="68"/>
      <c r="G1183" s="68" t="s">
        <v>750</v>
      </c>
      <c r="H1183" s="68">
        <f t="shared" si="129"/>
        <v>348</v>
      </c>
      <c r="I1183" s="68">
        <v>16</v>
      </c>
      <c r="J1183" s="70"/>
      <c r="K1183" s="70"/>
      <c r="L1183" s="312" t="str">
        <f t="shared" ref="L1183:L1186" si="134">IF(RIGHT(G1183,5)="FRAME","扩展帧CAN消息","")</f>
        <v>扩展帧CAN消息</v>
      </c>
      <c r="M1183" s="68"/>
    </row>
    <row r="1184" s="215" customFormat="1" spans="1:13">
      <c r="A1184" s="68"/>
      <c r="B1184" s="68"/>
      <c r="C1184" s="68"/>
      <c r="D1184" s="68"/>
      <c r="E1184" s="68"/>
      <c r="F1184" s="68"/>
      <c r="G1184" s="68" t="s">
        <v>751</v>
      </c>
      <c r="H1184" s="68">
        <f t="shared" si="129"/>
        <v>364</v>
      </c>
      <c r="I1184" s="68">
        <v>16</v>
      </c>
      <c r="J1184" s="70"/>
      <c r="K1184" s="70"/>
      <c r="L1184" s="312" t="str">
        <f t="shared" si="134"/>
        <v>扩展帧CAN消息</v>
      </c>
      <c r="M1184" s="68"/>
    </row>
    <row r="1185" s="215" customFormat="1" spans="1:13">
      <c r="A1185" s="68"/>
      <c r="B1185" s="68"/>
      <c r="C1185" s="68"/>
      <c r="D1185" s="68"/>
      <c r="E1185" s="68"/>
      <c r="F1185" s="68"/>
      <c r="G1185" s="68" t="s">
        <v>752</v>
      </c>
      <c r="H1185" s="68">
        <f t="shared" si="129"/>
        <v>380</v>
      </c>
      <c r="I1185" s="68">
        <v>16</v>
      </c>
      <c r="J1185" s="70"/>
      <c r="K1185" s="70"/>
      <c r="L1185" s="312" t="str">
        <f t="shared" si="134"/>
        <v>扩展帧CAN消息</v>
      </c>
      <c r="M1185" s="68"/>
    </row>
    <row r="1186" s="215" customFormat="1" spans="1:13">
      <c r="A1186" s="68"/>
      <c r="B1186" s="68"/>
      <c r="C1186" s="68"/>
      <c r="D1186" s="68"/>
      <c r="E1186" s="68"/>
      <c r="F1186" s="68"/>
      <c r="G1186" s="68" t="s">
        <v>753</v>
      </c>
      <c r="H1186" s="68">
        <f t="shared" si="129"/>
        <v>396</v>
      </c>
      <c r="I1186" s="68">
        <v>16</v>
      </c>
      <c r="J1186" s="70"/>
      <c r="K1186" s="70"/>
      <c r="L1186" s="312" t="str">
        <f t="shared" si="134"/>
        <v>扩展帧CAN消息</v>
      </c>
      <c r="M1186" s="68"/>
    </row>
    <row r="1187" s="215" customFormat="1" spans="1:13">
      <c r="A1187" s="68"/>
      <c r="B1187" s="68"/>
      <c r="C1187" s="68"/>
      <c r="D1187" s="68"/>
      <c r="E1187" s="68"/>
      <c r="F1187" s="68"/>
      <c r="G1187" s="68" t="s">
        <v>20</v>
      </c>
      <c r="H1187" s="68">
        <f t="shared" si="129"/>
        <v>412</v>
      </c>
      <c r="I1187" s="68">
        <v>4</v>
      </c>
      <c r="J1187" s="70"/>
      <c r="K1187" s="70"/>
      <c r="L1187" s="312"/>
      <c r="M1187" s="68"/>
    </row>
    <row r="1188" s="215" customFormat="1" spans="1:13">
      <c r="A1188" s="68"/>
      <c r="B1188" s="68"/>
      <c r="C1188" s="68"/>
      <c r="D1188" s="68"/>
      <c r="E1188" s="68"/>
      <c r="F1188" s="68"/>
      <c r="G1188" s="68" t="s">
        <v>754</v>
      </c>
      <c r="H1188" s="68">
        <f t="shared" si="129"/>
        <v>416</v>
      </c>
      <c r="I1188" s="68">
        <v>16</v>
      </c>
      <c r="J1188" s="70"/>
      <c r="K1188" s="70"/>
      <c r="L1188" s="312" t="str">
        <f t="shared" ref="L1188:L1191" si="135">IF(RIGHT(G1188,5)="FRAME","扩展帧CAN消息","")</f>
        <v>扩展帧CAN消息</v>
      </c>
      <c r="M1188" s="68"/>
    </row>
    <row r="1189" s="215" customFormat="1" spans="1:13">
      <c r="A1189" s="68"/>
      <c r="B1189" s="68"/>
      <c r="C1189" s="68"/>
      <c r="D1189" s="68"/>
      <c r="E1189" s="68"/>
      <c r="F1189" s="68"/>
      <c r="G1189" s="68" t="s">
        <v>755</v>
      </c>
      <c r="H1189" s="68">
        <f t="shared" si="129"/>
        <v>432</v>
      </c>
      <c r="I1189" s="68">
        <v>16</v>
      </c>
      <c r="J1189" s="70"/>
      <c r="K1189" s="70"/>
      <c r="L1189" s="312" t="str">
        <f t="shared" si="135"/>
        <v>扩展帧CAN消息</v>
      </c>
      <c r="M1189" s="68"/>
    </row>
    <row r="1190" s="215" customFormat="1" spans="1:13">
      <c r="A1190" s="68"/>
      <c r="B1190" s="68"/>
      <c r="C1190" s="68"/>
      <c r="D1190" s="68"/>
      <c r="E1190" s="68"/>
      <c r="F1190" s="68"/>
      <c r="G1190" s="68" t="s">
        <v>756</v>
      </c>
      <c r="H1190" s="68">
        <f t="shared" si="129"/>
        <v>448</v>
      </c>
      <c r="I1190" s="68">
        <v>16</v>
      </c>
      <c r="J1190" s="70"/>
      <c r="K1190" s="70"/>
      <c r="L1190" s="312" t="str">
        <f t="shared" si="135"/>
        <v>扩展帧CAN消息</v>
      </c>
      <c r="M1190" s="68"/>
    </row>
    <row r="1191" s="215" customFormat="1" spans="1:13">
      <c r="A1191" s="68"/>
      <c r="B1191" s="68"/>
      <c r="C1191" s="68"/>
      <c r="D1191" s="68"/>
      <c r="E1191" s="68"/>
      <c r="F1191" s="68"/>
      <c r="G1191" s="68" t="s">
        <v>757</v>
      </c>
      <c r="H1191" s="68">
        <f t="shared" si="129"/>
        <v>464</v>
      </c>
      <c r="I1191" s="68">
        <v>16</v>
      </c>
      <c r="J1191" s="70"/>
      <c r="K1191" s="70"/>
      <c r="L1191" s="312" t="str">
        <f t="shared" si="135"/>
        <v>扩展帧CAN消息</v>
      </c>
      <c r="M1191" s="68"/>
    </row>
    <row r="1192" spans="1:13">
      <c r="A1192" s="68"/>
      <c r="B1192" s="68"/>
      <c r="C1192" s="68"/>
      <c r="D1192" s="68"/>
      <c r="E1192" s="68"/>
      <c r="F1192" s="68"/>
      <c r="G1192" s="68" t="s">
        <v>20</v>
      </c>
      <c r="H1192" s="68">
        <f t="shared" si="129"/>
        <v>480</v>
      </c>
      <c r="I1192" s="68">
        <v>4</v>
      </c>
      <c r="J1192" s="70"/>
      <c r="K1192" s="70"/>
      <c r="L1192" s="317"/>
      <c r="M1192" s="68"/>
    </row>
    <row r="1193" spans="1:13">
      <c r="A1193" s="68"/>
      <c r="B1193" s="68"/>
      <c r="C1193" s="68"/>
      <c r="D1193" s="68"/>
      <c r="E1193" s="68"/>
      <c r="F1193" s="68"/>
      <c r="G1193" s="68" t="s">
        <v>758</v>
      </c>
      <c r="H1193" s="68">
        <f t="shared" si="129"/>
        <v>484</v>
      </c>
      <c r="I1193" s="68">
        <v>16</v>
      </c>
      <c r="J1193" s="70"/>
      <c r="K1193" s="70"/>
      <c r="L1193" s="312" t="str">
        <f t="shared" ref="L1193:L1196" si="136">IF(RIGHT(G1193,5)="FRAME","扩展帧CAN消息","")</f>
        <v>扩展帧CAN消息</v>
      </c>
      <c r="M1193" s="68"/>
    </row>
    <row r="1194" spans="1:13">
      <c r="A1194" s="68"/>
      <c r="B1194" s="68"/>
      <c r="C1194" s="68"/>
      <c r="D1194" s="68"/>
      <c r="E1194" s="68"/>
      <c r="F1194" s="68"/>
      <c r="G1194" s="68" t="s">
        <v>759</v>
      </c>
      <c r="H1194" s="68">
        <f t="shared" si="129"/>
        <v>500</v>
      </c>
      <c r="I1194" s="68">
        <v>16</v>
      </c>
      <c r="J1194" s="70"/>
      <c r="K1194" s="70"/>
      <c r="L1194" s="312" t="str">
        <f t="shared" si="136"/>
        <v>扩展帧CAN消息</v>
      </c>
      <c r="M1194" s="68"/>
    </row>
    <row r="1195" spans="1:13">
      <c r="A1195" s="68"/>
      <c r="B1195" s="68"/>
      <c r="C1195" s="68"/>
      <c r="D1195" s="68"/>
      <c r="E1195" s="68"/>
      <c r="F1195" s="68"/>
      <c r="G1195" s="68" t="s">
        <v>760</v>
      </c>
      <c r="H1195" s="68">
        <f t="shared" si="129"/>
        <v>516</v>
      </c>
      <c r="I1195" s="68">
        <v>16</v>
      </c>
      <c r="J1195" s="70"/>
      <c r="K1195" s="70"/>
      <c r="L1195" s="312" t="str">
        <f t="shared" si="136"/>
        <v>扩展帧CAN消息</v>
      </c>
      <c r="M1195" s="68"/>
    </row>
    <row r="1196" spans="1:13">
      <c r="A1196" s="68"/>
      <c r="B1196" s="68"/>
      <c r="C1196" s="68"/>
      <c r="D1196" s="68"/>
      <c r="E1196" s="68"/>
      <c r="F1196" s="68"/>
      <c r="G1196" s="68" t="s">
        <v>761</v>
      </c>
      <c r="H1196" s="68">
        <f t="shared" si="129"/>
        <v>532</v>
      </c>
      <c r="I1196" s="68">
        <v>16</v>
      </c>
      <c r="J1196" s="70"/>
      <c r="K1196" s="70"/>
      <c r="L1196" s="312" t="str">
        <f t="shared" si="136"/>
        <v>扩展帧CAN消息</v>
      </c>
      <c r="M1196" s="68"/>
    </row>
    <row r="1197" spans="1:13">
      <c r="A1197" s="68"/>
      <c r="B1197" s="68"/>
      <c r="C1197" s="68"/>
      <c r="D1197" s="68"/>
      <c r="E1197" s="68"/>
      <c r="F1197" s="68"/>
      <c r="G1197" s="68" t="s">
        <v>20</v>
      </c>
      <c r="H1197" s="68">
        <f t="shared" si="129"/>
        <v>548</v>
      </c>
      <c r="I1197" s="68">
        <v>4</v>
      </c>
      <c r="J1197" s="70"/>
      <c r="K1197" s="70"/>
      <c r="L1197" s="312"/>
      <c r="M1197" s="68"/>
    </row>
    <row r="1198" spans="1:13">
      <c r="A1198" s="68"/>
      <c r="B1198" s="68"/>
      <c r="C1198" s="68"/>
      <c r="D1198" s="68"/>
      <c r="E1198" s="68"/>
      <c r="F1198" s="68"/>
      <c r="G1198" s="68" t="s">
        <v>762</v>
      </c>
      <c r="H1198" s="68">
        <f t="shared" si="129"/>
        <v>552</v>
      </c>
      <c r="I1198" s="68">
        <v>16</v>
      </c>
      <c r="J1198" s="70"/>
      <c r="K1198" s="70"/>
      <c r="L1198" s="312" t="str">
        <f t="shared" ref="L1198:L1201" si="137">IF(RIGHT(G1198,5)="FRAME","扩展帧CAN消息","")</f>
        <v>扩展帧CAN消息</v>
      </c>
      <c r="M1198" s="68"/>
    </row>
    <row r="1199" spans="1:13">
      <c r="A1199" s="68"/>
      <c r="B1199" s="68"/>
      <c r="C1199" s="68"/>
      <c r="D1199" s="68"/>
      <c r="E1199" s="68"/>
      <c r="F1199" s="68"/>
      <c r="G1199" s="68" t="s">
        <v>763</v>
      </c>
      <c r="H1199" s="68">
        <f t="shared" si="129"/>
        <v>568</v>
      </c>
      <c r="I1199" s="68">
        <v>16</v>
      </c>
      <c r="J1199" s="70"/>
      <c r="K1199" s="70"/>
      <c r="L1199" s="312" t="str">
        <f t="shared" si="137"/>
        <v>扩展帧CAN消息</v>
      </c>
      <c r="M1199" s="68"/>
    </row>
    <row r="1200" spans="1:13">
      <c r="A1200" s="68"/>
      <c r="B1200" s="68"/>
      <c r="C1200" s="68"/>
      <c r="D1200" s="68"/>
      <c r="E1200" s="68"/>
      <c r="F1200" s="68"/>
      <c r="G1200" s="68" t="s">
        <v>764</v>
      </c>
      <c r="H1200" s="68">
        <f t="shared" si="129"/>
        <v>584</v>
      </c>
      <c r="I1200" s="68">
        <v>16</v>
      </c>
      <c r="J1200" s="70"/>
      <c r="K1200" s="70"/>
      <c r="L1200" s="312" t="str">
        <f t="shared" si="137"/>
        <v>扩展帧CAN消息</v>
      </c>
      <c r="M1200" s="68"/>
    </row>
    <row r="1201" spans="1:13">
      <c r="A1201" s="68"/>
      <c r="B1201" s="68"/>
      <c r="C1201" s="68"/>
      <c r="D1201" s="68"/>
      <c r="E1201" s="68"/>
      <c r="F1201" s="68"/>
      <c r="G1201" s="68" t="s">
        <v>765</v>
      </c>
      <c r="H1201" s="68">
        <f t="shared" si="129"/>
        <v>600</v>
      </c>
      <c r="I1201" s="68">
        <v>16</v>
      </c>
      <c r="J1201" s="70"/>
      <c r="K1201" s="70"/>
      <c r="L1201" s="312" t="str">
        <f t="shared" si="137"/>
        <v>扩展帧CAN消息</v>
      </c>
      <c r="M1201" s="68"/>
    </row>
    <row r="1202" spans="1:13">
      <c r="A1202" s="68"/>
      <c r="B1202" s="68"/>
      <c r="C1202" s="68"/>
      <c r="D1202" s="68"/>
      <c r="E1202" s="68"/>
      <c r="F1202" s="68"/>
      <c r="G1202" s="68" t="s">
        <v>20</v>
      </c>
      <c r="H1202" s="68">
        <f t="shared" si="129"/>
        <v>616</v>
      </c>
      <c r="I1202" s="68">
        <v>4</v>
      </c>
      <c r="J1202" s="70"/>
      <c r="K1202" s="70"/>
      <c r="L1202" s="317"/>
      <c r="M1202" s="68"/>
    </row>
    <row r="1203" spans="1:13">
      <c r="A1203" s="68"/>
      <c r="B1203" s="68"/>
      <c r="C1203" s="68"/>
      <c r="D1203" s="68"/>
      <c r="E1203" s="68"/>
      <c r="F1203" s="68"/>
      <c r="G1203" s="68" t="s">
        <v>766</v>
      </c>
      <c r="H1203" s="68">
        <f t="shared" si="129"/>
        <v>620</v>
      </c>
      <c r="I1203" s="68">
        <v>16</v>
      </c>
      <c r="J1203" s="70"/>
      <c r="K1203" s="70"/>
      <c r="L1203" s="312" t="str">
        <f t="shared" ref="L1203:L1205" si="138">IF(RIGHT(G1203,5)="FRAME","扩展帧CAN消息","")</f>
        <v>扩展帧CAN消息</v>
      </c>
      <c r="M1203" s="68"/>
    </row>
    <row r="1204" spans="1:13">
      <c r="A1204" s="68"/>
      <c r="B1204" s="68"/>
      <c r="C1204" s="68"/>
      <c r="D1204" s="68"/>
      <c r="E1204" s="68"/>
      <c r="F1204" s="68"/>
      <c r="G1204" s="68" t="s">
        <v>767</v>
      </c>
      <c r="H1204" s="68">
        <f t="shared" si="129"/>
        <v>636</v>
      </c>
      <c r="I1204" s="68">
        <v>16</v>
      </c>
      <c r="J1204" s="70"/>
      <c r="K1204" s="70"/>
      <c r="L1204" s="312" t="str">
        <f t="shared" si="138"/>
        <v>扩展帧CAN消息</v>
      </c>
      <c r="M1204" s="68"/>
    </row>
    <row r="1205" spans="1:13">
      <c r="A1205" s="68"/>
      <c r="B1205" s="68"/>
      <c r="C1205" s="68"/>
      <c r="D1205" s="68"/>
      <c r="E1205" s="68"/>
      <c r="F1205" s="68"/>
      <c r="G1205" s="68" t="s">
        <v>768</v>
      </c>
      <c r="H1205" s="68">
        <f t="shared" si="129"/>
        <v>652</v>
      </c>
      <c r="I1205" s="68">
        <v>16</v>
      </c>
      <c r="J1205" s="70"/>
      <c r="K1205" s="70"/>
      <c r="L1205" s="312" t="str">
        <f t="shared" si="138"/>
        <v>扩展帧CAN消息</v>
      </c>
      <c r="M1205" s="68"/>
    </row>
    <row r="1206" spans="1:13">
      <c r="A1206" s="68" t="s">
        <v>310</v>
      </c>
      <c r="B1206" s="68" t="s">
        <v>769</v>
      </c>
      <c r="C1206" s="68" t="s">
        <v>213</v>
      </c>
      <c r="D1206" s="68" t="s">
        <v>317</v>
      </c>
      <c r="E1206" s="68">
        <v>7069</v>
      </c>
      <c r="F1206" s="68" t="s">
        <v>86</v>
      </c>
      <c r="G1206" s="68" t="s">
        <v>18</v>
      </c>
      <c r="H1206" s="68">
        <v>0</v>
      </c>
      <c r="I1206" s="68">
        <v>4</v>
      </c>
      <c r="J1206" s="68" t="s">
        <v>77</v>
      </c>
      <c r="K1206" s="68">
        <v>1000</v>
      </c>
      <c r="L1206" s="312"/>
      <c r="M1206" s="68">
        <v>1102201</v>
      </c>
    </row>
    <row r="1207" spans="1:13">
      <c r="A1207" s="68"/>
      <c r="B1207" s="68"/>
      <c r="C1207" s="68"/>
      <c r="D1207" s="68"/>
      <c r="E1207" s="68"/>
      <c r="F1207" s="68"/>
      <c r="G1207" s="68" t="s">
        <v>20</v>
      </c>
      <c r="H1207" s="68">
        <v>4</v>
      </c>
      <c r="I1207" s="68">
        <v>4</v>
      </c>
      <c r="J1207" s="68"/>
      <c r="K1207" s="68"/>
      <c r="L1207" s="312"/>
      <c r="M1207" s="68"/>
    </row>
    <row r="1208" spans="1:13">
      <c r="A1208" s="68"/>
      <c r="B1208" s="68"/>
      <c r="C1208" s="68"/>
      <c r="D1208" s="68"/>
      <c r="E1208" s="68"/>
      <c r="F1208" s="68"/>
      <c r="G1208" s="68" t="s">
        <v>770</v>
      </c>
      <c r="H1208" s="68">
        <v>8</v>
      </c>
      <c r="I1208" s="68">
        <v>16</v>
      </c>
      <c r="J1208" s="68"/>
      <c r="K1208" s="68"/>
      <c r="L1208" s="312" t="str">
        <f t="shared" ref="L1208:L1211" si="139">IF(RIGHT(G1208,5)="FRAME","扩展帧CAN消息","")</f>
        <v>扩展帧CAN消息</v>
      </c>
      <c r="M1208" s="68"/>
    </row>
    <row r="1209" spans="1:13">
      <c r="A1209" s="68"/>
      <c r="B1209" s="68"/>
      <c r="C1209" s="68"/>
      <c r="D1209" s="68"/>
      <c r="E1209" s="68"/>
      <c r="F1209" s="68"/>
      <c r="G1209" s="68" t="s">
        <v>771</v>
      </c>
      <c r="H1209" s="68">
        <v>24</v>
      </c>
      <c r="I1209" s="68">
        <v>16</v>
      </c>
      <c r="J1209" s="68"/>
      <c r="K1209" s="68"/>
      <c r="L1209" s="312" t="str">
        <f t="shared" si="139"/>
        <v>扩展帧CAN消息</v>
      </c>
      <c r="M1209" s="68"/>
    </row>
    <row r="1210" spans="1:13">
      <c r="A1210" s="68"/>
      <c r="B1210" s="68"/>
      <c r="C1210" s="68"/>
      <c r="D1210" s="68"/>
      <c r="E1210" s="68"/>
      <c r="F1210" s="68"/>
      <c r="G1210" s="68" t="s">
        <v>772</v>
      </c>
      <c r="H1210" s="68">
        <v>40</v>
      </c>
      <c r="I1210" s="68">
        <v>16</v>
      </c>
      <c r="J1210" s="68"/>
      <c r="K1210" s="68"/>
      <c r="L1210" s="312" t="str">
        <f t="shared" si="139"/>
        <v>扩展帧CAN消息</v>
      </c>
      <c r="M1210" s="68"/>
    </row>
    <row r="1211" spans="1:13">
      <c r="A1211" s="68"/>
      <c r="B1211" s="68"/>
      <c r="C1211" s="68"/>
      <c r="D1211" s="68"/>
      <c r="E1211" s="68"/>
      <c r="F1211" s="68"/>
      <c r="G1211" s="68" t="s">
        <v>773</v>
      </c>
      <c r="H1211" s="68">
        <v>56</v>
      </c>
      <c r="I1211" s="68">
        <v>16</v>
      </c>
      <c r="J1211" s="68"/>
      <c r="K1211" s="68"/>
      <c r="L1211" s="312" t="str">
        <f t="shared" si="139"/>
        <v>扩展帧CAN消息</v>
      </c>
      <c r="M1211" s="68"/>
    </row>
    <row r="1212" spans="1:13">
      <c r="A1212" s="68"/>
      <c r="B1212" s="68"/>
      <c r="C1212" s="68"/>
      <c r="D1212" s="68"/>
      <c r="E1212" s="68"/>
      <c r="F1212" s="68"/>
      <c r="G1212" s="68" t="s">
        <v>20</v>
      </c>
      <c r="H1212" s="68">
        <v>72</v>
      </c>
      <c r="I1212" s="68">
        <v>4</v>
      </c>
      <c r="J1212" s="68"/>
      <c r="K1212" s="68"/>
      <c r="L1212" s="312"/>
      <c r="M1212" s="68"/>
    </row>
    <row r="1213" spans="1:13">
      <c r="A1213" s="68"/>
      <c r="B1213" s="68"/>
      <c r="C1213" s="68"/>
      <c r="D1213" s="68"/>
      <c r="E1213" s="68"/>
      <c r="F1213" s="68"/>
      <c r="G1213" s="68" t="s">
        <v>774</v>
      </c>
      <c r="H1213" s="68">
        <v>76</v>
      </c>
      <c r="I1213" s="68">
        <v>16</v>
      </c>
      <c r="J1213" s="68"/>
      <c r="K1213" s="68"/>
      <c r="L1213" s="312" t="str">
        <f t="shared" ref="L1213:L1216" si="140">IF(RIGHT(G1213,5)="FRAME","扩展帧CAN消息","")</f>
        <v>扩展帧CAN消息</v>
      </c>
      <c r="M1213" s="68"/>
    </row>
    <row r="1214" spans="1:13">
      <c r="A1214" s="68"/>
      <c r="B1214" s="68"/>
      <c r="C1214" s="68"/>
      <c r="D1214" s="68"/>
      <c r="E1214" s="68"/>
      <c r="F1214" s="68"/>
      <c r="G1214" s="68" t="s">
        <v>775</v>
      </c>
      <c r="H1214" s="68">
        <v>92</v>
      </c>
      <c r="I1214" s="68">
        <v>16</v>
      </c>
      <c r="J1214" s="68"/>
      <c r="K1214" s="68"/>
      <c r="L1214" s="312" t="str">
        <f t="shared" si="140"/>
        <v>扩展帧CAN消息</v>
      </c>
      <c r="M1214" s="68"/>
    </row>
    <row r="1215" spans="1:13">
      <c r="A1215" s="68"/>
      <c r="B1215" s="68"/>
      <c r="C1215" s="68"/>
      <c r="D1215" s="68"/>
      <c r="E1215" s="68"/>
      <c r="F1215" s="68"/>
      <c r="G1215" s="68" t="s">
        <v>776</v>
      </c>
      <c r="H1215" s="68">
        <v>108</v>
      </c>
      <c r="I1215" s="68">
        <v>16</v>
      </c>
      <c r="J1215" s="68"/>
      <c r="K1215" s="68"/>
      <c r="L1215" s="312" t="str">
        <f t="shared" si="140"/>
        <v>扩展帧CAN消息</v>
      </c>
      <c r="M1215" s="68"/>
    </row>
    <row r="1216" spans="1:13">
      <c r="A1216" s="68"/>
      <c r="B1216" s="68"/>
      <c r="C1216" s="68"/>
      <c r="D1216" s="68"/>
      <c r="E1216" s="68"/>
      <c r="F1216" s="68"/>
      <c r="G1216" s="68" t="s">
        <v>777</v>
      </c>
      <c r="H1216" s="68">
        <v>124</v>
      </c>
      <c r="I1216" s="68">
        <v>16</v>
      </c>
      <c r="J1216" s="68"/>
      <c r="K1216" s="68"/>
      <c r="L1216" s="312" t="str">
        <f t="shared" si="140"/>
        <v>扩展帧CAN消息</v>
      </c>
      <c r="M1216" s="68"/>
    </row>
    <row r="1217" spans="1:13">
      <c r="A1217" s="68"/>
      <c r="B1217" s="68"/>
      <c r="C1217" s="68"/>
      <c r="D1217" s="68"/>
      <c r="E1217" s="68"/>
      <c r="F1217" s="68"/>
      <c r="G1217" s="68" t="s">
        <v>20</v>
      </c>
      <c r="H1217" s="68">
        <v>140</v>
      </c>
      <c r="I1217" s="68">
        <v>4</v>
      </c>
      <c r="J1217" s="68"/>
      <c r="K1217" s="68"/>
      <c r="L1217" s="312"/>
      <c r="M1217" s="68"/>
    </row>
    <row r="1218" spans="1:13">
      <c r="A1218" s="68"/>
      <c r="B1218" s="68"/>
      <c r="C1218" s="68"/>
      <c r="D1218" s="68"/>
      <c r="E1218" s="68"/>
      <c r="F1218" s="68"/>
      <c r="G1218" s="68" t="s">
        <v>778</v>
      </c>
      <c r="H1218" s="68">
        <v>144</v>
      </c>
      <c r="I1218" s="68">
        <v>16</v>
      </c>
      <c r="J1218" s="68"/>
      <c r="K1218" s="68"/>
      <c r="L1218" s="312" t="str">
        <f t="shared" ref="L1218:L1221" si="141">IF(RIGHT(G1218,5)="FRAME","扩展帧CAN消息","")</f>
        <v>扩展帧CAN消息</v>
      </c>
      <c r="M1218" s="68"/>
    </row>
    <row r="1219" spans="1:13">
      <c r="A1219" s="68"/>
      <c r="B1219" s="68"/>
      <c r="C1219" s="68"/>
      <c r="D1219" s="68"/>
      <c r="E1219" s="68"/>
      <c r="F1219" s="68"/>
      <c r="G1219" s="68" t="s">
        <v>779</v>
      </c>
      <c r="H1219" s="68">
        <v>160</v>
      </c>
      <c r="I1219" s="68">
        <v>16</v>
      </c>
      <c r="J1219" s="68"/>
      <c r="K1219" s="68"/>
      <c r="L1219" s="312" t="str">
        <f t="shared" si="141"/>
        <v>扩展帧CAN消息</v>
      </c>
      <c r="M1219" s="68"/>
    </row>
    <row r="1220" spans="1:13">
      <c r="A1220" s="68"/>
      <c r="B1220" s="68"/>
      <c r="C1220" s="68"/>
      <c r="D1220" s="68"/>
      <c r="E1220" s="68"/>
      <c r="F1220" s="68"/>
      <c r="G1220" s="68" t="s">
        <v>780</v>
      </c>
      <c r="H1220" s="68">
        <v>176</v>
      </c>
      <c r="I1220" s="68">
        <v>16</v>
      </c>
      <c r="J1220" s="68"/>
      <c r="K1220" s="68"/>
      <c r="L1220" s="312" t="str">
        <f t="shared" si="141"/>
        <v>扩展帧CAN消息</v>
      </c>
      <c r="M1220" s="68"/>
    </row>
    <row r="1221" spans="1:13">
      <c r="A1221" s="68"/>
      <c r="B1221" s="68"/>
      <c r="C1221" s="68"/>
      <c r="D1221" s="68"/>
      <c r="E1221" s="68"/>
      <c r="F1221" s="68"/>
      <c r="G1221" s="68" t="s">
        <v>781</v>
      </c>
      <c r="H1221" s="68">
        <v>192</v>
      </c>
      <c r="I1221" s="68">
        <v>16</v>
      </c>
      <c r="J1221" s="68"/>
      <c r="K1221" s="68"/>
      <c r="L1221" s="312" t="str">
        <f t="shared" si="141"/>
        <v>扩展帧CAN消息</v>
      </c>
      <c r="M1221" s="68"/>
    </row>
    <row r="1222" spans="1:13">
      <c r="A1222" s="68"/>
      <c r="B1222" s="68"/>
      <c r="C1222" s="68"/>
      <c r="D1222" s="68"/>
      <c r="E1222" s="68"/>
      <c r="F1222" s="68"/>
      <c r="G1222" s="68" t="s">
        <v>20</v>
      </c>
      <c r="H1222" s="68">
        <v>208</v>
      </c>
      <c r="I1222" s="68">
        <v>4</v>
      </c>
      <c r="J1222" s="68"/>
      <c r="K1222" s="68"/>
      <c r="L1222" s="312"/>
      <c r="M1222" s="68"/>
    </row>
    <row r="1223" spans="1:13">
      <c r="A1223" s="68"/>
      <c r="B1223" s="68"/>
      <c r="C1223" s="68"/>
      <c r="D1223" s="68"/>
      <c r="E1223" s="68"/>
      <c r="F1223" s="68"/>
      <c r="G1223" s="68" t="s">
        <v>782</v>
      </c>
      <c r="H1223" s="68">
        <v>212</v>
      </c>
      <c r="I1223" s="68">
        <v>16</v>
      </c>
      <c r="J1223" s="68"/>
      <c r="K1223" s="68"/>
      <c r="L1223" s="312" t="str">
        <f t="shared" ref="L1223:L1226" si="142">IF(RIGHT(G1223,5)="FRAME","扩展帧CAN消息","")</f>
        <v>扩展帧CAN消息</v>
      </c>
      <c r="M1223" s="68"/>
    </row>
    <row r="1224" spans="1:13">
      <c r="A1224" s="68"/>
      <c r="B1224" s="68"/>
      <c r="C1224" s="68"/>
      <c r="D1224" s="68"/>
      <c r="E1224" s="68"/>
      <c r="F1224" s="68"/>
      <c r="G1224" s="68" t="s">
        <v>783</v>
      </c>
      <c r="H1224" s="68">
        <v>228</v>
      </c>
      <c r="I1224" s="68">
        <v>16</v>
      </c>
      <c r="J1224" s="68"/>
      <c r="K1224" s="68"/>
      <c r="L1224" s="312" t="str">
        <f t="shared" si="142"/>
        <v>扩展帧CAN消息</v>
      </c>
      <c r="M1224" s="68"/>
    </row>
    <row r="1225" spans="1:13">
      <c r="A1225" s="68"/>
      <c r="B1225" s="68"/>
      <c r="C1225" s="68"/>
      <c r="D1225" s="68"/>
      <c r="E1225" s="68"/>
      <c r="F1225" s="68"/>
      <c r="G1225" s="68" t="s">
        <v>784</v>
      </c>
      <c r="H1225" s="68">
        <v>244</v>
      </c>
      <c r="I1225" s="68">
        <v>16</v>
      </c>
      <c r="J1225" s="68"/>
      <c r="K1225" s="68"/>
      <c r="L1225" s="312" t="str">
        <f t="shared" si="142"/>
        <v>扩展帧CAN消息</v>
      </c>
      <c r="M1225" s="68"/>
    </row>
    <row r="1226" spans="1:13">
      <c r="A1226" s="68"/>
      <c r="B1226" s="68"/>
      <c r="C1226" s="68"/>
      <c r="D1226" s="68"/>
      <c r="E1226" s="68"/>
      <c r="F1226" s="68"/>
      <c r="G1226" s="68" t="s">
        <v>785</v>
      </c>
      <c r="H1226" s="68">
        <v>260</v>
      </c>
      <c r="I1226" s="68">
        <v>16</v>
      </c>
      <c r="J1226" s="68"/>
      <c r="K1226" s="68"/>
      <c r="L1226" s="312" t="str">
        <f t="shared" si="142"/>
        <v>扩展帧CAN消息</v>
      </c>
      <c r="M1226" s="68"/>
    </row>
    <row r="1227" spans="1:13">
      <c r="A1227" s="68"/>
      <c r="B1227" s="68"/>
      <c r="C1227" s="68"/>
      <c r="D1227" s="68"/>
      <c r="E1227" s="68"/>
      <c r="F1227" s="68"/>
      <c r="G1227" s="68" t="s">
        <v>20</v>
      </c>
      <c r="H1227" s="68">
        <v>276</v>
      </c>
      <c r="I1227" s="68">
        <v>4</v>
      </c>
      <c r="J1227" s="68"/>
      <c r="K1227" s="68"/>
      <c r="L1227" s="312"/>
      <c r="M1227" s="68"/>
    </row>
    <row r="1228" spans="1:13">
      <c r="A1228" s="68"/>
      <c r="B1228" s="68"/>
      <c r="C1228" s="68"/>
      <c r="D1228" s="68"/>
      <c r="E1228" s="68"/>
      <c r="F1228" s="68"/>
      <c r="G1228" s="68" t="s">
        <v>786</v>
      </c>
      <c r="H1228" s="68">
        <v>280</v>
      </c>
      <c r="I1228" s="68">
        <v>16</v>
      </c>
      <c r="J1228" s="68"/>
      <c r="K1228" s="68"/>
      <c r="L1228" s="312" t="str">
        <f t="shared" ref="L1228:L1231" si="143">IF(RIGHT(G1228,5)="FRAME","扩展帧CAN消息","")</f>
        <v>扩展帧CAN消息</v>
      </c>
      <c r="M1228" s="68"/>
    </row>
    <row r="1229" spans="1:13">
      <c r="A1229" s="68"/>
      <c r="B1229" s="68"/>
      <c r="C1229" s="68"/>
      <c r="D1229" s="68"/>
      <c r="E1229" s="68"/>
      <c r="F1229" s="68"/>
      <c r="G1229" s="68" t="s">
        <v>787</v>
      </c>
      <c r="H1229" s="68">
        <v>296</v>
      </c>
      <c r="I1229" s="68">
        <v>16</v>
      </c>
      <c r="J1229" s="68"/>
      <c r="K1229" s="68"/>
      <c r="L1229" s="312" t="str">
        <f t="shared" si="143"/>
        <v>扩展帧CAN消息</v>
      </c>
      <c r="M1229" s="68"/>
    </row>
    <row r="1230" spans="1:13">
      <c r="A1230" s="68"/>
      <c r="B1230" s="68"/>
      <c r="C1230" s="68"/>
      <c r="D1230" s="68"/>
      <c r="E1230" s="68"/>
      <c r="F1230" s="68"/>
      <c r="G1230" s="68" t="s">
        <v>788</v>
      </c>
      <c r="H1230" s="68">
        <v>312</v>
      </c>
      <c r="I1230" s="68">
        <v>16</v>
      </c>
      <c r="J1230" s="68"/>
      <c r="K1230" s="68"/>
      <c r="L1230" s="312" t="str">
        <f t="shared" si="143"/>
        <v>扩展帧CAN消息</v>
      </c>
      <c r="M1230" s="68"/>
    </row>
    <row r="1231" spans="1:13">
      <c r="A1231" s="68"/>
      <c r="B1231" s="68"/>
      <c r="C1231" s="68"/>
      <c r="D1231" s="68"/>
      <c r="E1231" s="68"/>
      <c r="F1231" s="68"/>
      <c r="G1231" s="68" t="s">
        <v>789</v>
      </c>
      <c r="H1231" s="68">
        <v>328</v>
      </c>
      <c r="I1231" s="68">
        <v>16</v>
      </c>
      <c r="J1231" s="68"/>
      <c r="K1231" s="68"/>
      <c r="L1231" s="312" t="str">
        <f t="shared" si="143"/>
        <v>扩展帧CAN消息</v>
      </c>
      <c r="M1231" s="68"/>
    </row>
    <row r="1232" spans="1:13">
      <c r="A1232" s="68"/>
      <c r="B1232" s="68"/>
      <c r="C1232" s="68"/>
      <c r="D1232" s="68"/>
      <c r="E1232" s="68"/>
      <c r="F1232" s="68"/>
      <c r="G1232" s="68" t="s">
        <v>20</v>
      </c>
      <c r="H1232" s="68">
        <v>344</v>
      </c>
      <c r="I1232" s="68">
        <v>4</v>
      </c>
      <c r="J1232" s="68"/>
      <c r="K1232" s="68"/>
      <c r="L1232" s="312"/>
      <c r="M1232" s="68"/>
    </row>
    <row r="1233" spans="1:13">
      <c r="A1233" s="68"/>
      <c r="B1233" s="68"/>
      <c r="C1233" s="68"/>
      <c r="D1233" s="68"/>
      <c r="E1233" s="68"/>
      <c r="F1233" s="68"/>
      <c r="G1233" s="68" t="s">
        <v>790</v>
      </c>
      <c r="H1233" s="68">
        <v>348</v>
      </c>
      <c r="I1233" s="68">
        <v>16</v>
      </c>
      <c r="J1233" s="68"/>
      <c r="K1233" s="68"/>
      <c r="L1233" s="312" t="str">
        <f t="shared" ref="L1233:L1236" si="144">IF(RIGHT(G1233,5)="FRAME","扩展帧CAN消息","")</f>
        <v>扩展帧CAN消息</v>
      </c>
      <c r="M1233" s="68"/>
    </row>
    <row r="1234" spans="1:13">
      <c r="A1234" s="68"/>
      <c r="B1234" s="68"/>
      <c r="C1234" s="68"/>
      <c r="D1234" s="68"/>
      <c r="E1234" s="68"/>
      <c r="F1234" s="68"/>
      <c r="G1234" s="68" t="s">
        <v>791</v>
      </c>
      <c r="H1234" s="68">
        <v>364</v>
      </c>
      <c r="I1234" s="68">
        <v>16</v>
      </c>
      <c r="J1234" s="68"/>
      <c r="K1234" s="68"/>
      <c r="L1234" s="312" t="str">
        <f t="shared" si="144"/>
        <v>扩展帧CAN消息</v>
      </c>
      <c r="M1234" s="68"/>
    </row>
    <row r="1235" spans="1:13">
      <c r="A1235" s="68"/>
      <c r="B1235" s="68"/>
      <c r="C1235" s="68"/>
      <c r="D1235" s="68"/>
      <c r="E1235" s="68"/>
      <c r="F1235" s="68"/>
      <c r="G1235" s="68" t="s">
        <v>792</v>
      </c>
      <c r="H1235" s="68">
        <v>380</v>
      </c>
      <c r="I1235" s="68">
        <v>16</v>
      </c>
      <c r="J1235" s="68"/>
      <c r="K1235" s="68"/>
      <c r="L1235" s="312" t="str">
        <f t="shared" si="144"/>
        <v>扩展帧CAN消息</v>
      </c>
      <c r="M1235" s="68"/>
    </row>
    <row r="1236" spans="1:13">
      <c r="A1236" s="68"/>
      <c r="B1236" s="68"/>
      <c r="C1236" s="68"/>
      <c r="D1236" s="68"/>
      <c r="E1236" s="68"/>
      <c r="F1236" s="68"/>
      <c r="G1236" s="68" t="s">
        <v>793</v>
      </c>
      <c r="H1236" s="68">
        <v>396</v>
      </c>
      <c r="I1236" s="68">
        <v>16</v>
      </c>
      <c r="J1236" s="68"/>
      <c r="K1236" s="68"/>
      <c r="L1236" s="312" t="str">
        <f t="shared" si="144"/>
        <v>扩展帧CAN消息</v>
      </c>
      <c r="M1236" s="68"/>
    </row>
    <row r="1237" spans="1:13">
      <c r="A1237" s="68"/>
      <c r="B1237" s="68"/>
      <c r="C1237" s="68"/>
      <c r="D1237" s="68"/>
      <c r="E1237" s="68"/>
      <c r="F1237" s="68"/>
      <c r="G1237" s="68" t="s">
        <v>20</v>
      </c>
      <c r="H1237" s="68">
        <v>412</v>
      </c>
      <c r="I1237" s="68">
        <v>4</v>
      </c>
      <c r="J1237" s="68"/>
      <c r="K1237" s="68"/>
      <c r="L1237" s="312"/>
      <c r="M1237" s="68"/>
    </row>
    <row r="1238" spans="1:13">
      <c r="A1238" s="68"/>
      <c r="B1238" s="68"/>
      <c r="C1238" s="68"/>
      <c r="D1238" s="68"/>
      <c r="E1238" s="68"/>
      <c r="F1238" s="68"/>
      <c r="G1238" s="68" t="s">
        <v>794</v>
      </c>
      <c r="H1238" s="68">
        <v>416</v>
      </c>
      <c r="I1238" s="68">
        <v>16</v>
      </c>
      <c r="J1238" s="68"/>
      <c r="K1238" s="68"/>
      <c r="L1238" s="312" t="str">
        <f t="shared" ref="L1238:L1241" si="145">IF(RIGHT(G1238,5)="FRAME","扩展帧CAN消息","")</f>
        <v>扩展帧CAN消息</v>
      </c>
      <c r="M1238" s="68"/>
    </row>
    <row r="1239" spans="1:13">
      <c r="A1239" s="68"/>
      <c r="B1239" s="68"/>
      <c r="C1239" s="68"/>
      <c r="D1239" s="68"/>
      <c r="E1239" s="68"/>
      <c r="F1239" s="68"/>
      <c r="G1239" s="68" t="s">
        <v>795</v>
      </c>
      <c r="H1239" s="68">
        <v>432</v>
      </c>
      <c r="I1239" s="68">
        <v>16</v>
      </c>
      <c r="J1239" s="68"/>
      <c r="K1239" s="68"/>
      <c r="L1239" s="312" t="str">
        <f t="shared" si="145"/>
        <v>扩展帧CAN消息</v>
      </c>
      <c r="M1239" s="68"/>
    </row>
    <row r="1240" spans="1:13">
      <c r="A1240" s="68"/>
      <c r="B1240" s="68"/>
      <c r="C1240" s="68"/>
      <c r="D1240" s="68"/>
      <c r="E1240" s="68"/>
      <c r="F1240" s="68"/>
      <c r="G1240" s="68" t="s">
        <v>796</v>
      </c>
      <c r="H1240" s="68">
        <v>448</v>
      </c>
      <c r="I1240" s="68">
        <v>16</v>
      </c>
      <c r="J1240" s="68"/>
      <c r="K1240" s="68"/>
      <c r="L1240" s="312" t="str">
        <f t="shared" si="145"/>
        <v>扩展帧CAN消息</v>
      </c>
      <c r="M1240" s="68"/>
    </row>
    <row r="1241" spans="1:13">
      <c r="A1241" s="68"/>
      <c r="B1241" s="68"/>
      <c r="C1241" s="68"/>
      <c r="D1241" s="68"/>
      <c r="E1241" s="68"/>
      <c r="F1241" s="68"/>
      <c r="G1241" s="68" t="s">
        <v>797</v>
      </c>
      <c r="H1241" s="68">
        <v>464</v>
      </c>
      <c r="I1241" s="68">
        <v>16</v>
      </c>
      <c r="J1241" s="68"/>
      <c r="K1241" s="68"/>
      <c r="L1241" s="312" t="str">
        <f t="shared" si="145"/>
        <v>扩展帧CAN消息</v>
      </c>
      <c r="M1241" s="68"/>
    </row>
    <row r="1242" spans="1:13">
      <c r="A1242" s="68"/>
      <c r="B1242" s="68"/>
      <c r="C1242" s="68"/>
      <c r="D1242" s="68"/>
      <c r="E1242" s="68"/>
      <c r="F1242" s="68"/>
      <c r="G1242" s="68" t="s">
        <v>20</v>
      </c>
      <c r="H1242" s="68">
        <v>480</v>
      </c>
      <c r="I1242" s="68">
        <v>4</v>
      </c>
      <c r="J1242" s="68"/>
      <c r="K1242" s="68"/>
      <c r="L1242" s="312"/>
      <c r="M1242" s="68"/>
    </row>
    <row r="1243" spans="1:13">
      <c r="A1243" s="68"/>
      <c r="B1243" s="68"/>
      <c r="C1243" s="68"/>
      <c r="D1243" s="68"/>
      <c r="E1243" s="68"/>
      <c r="F1243" s="68"/>
      <c r="G1243" s="68" t="s">
        <v>798</v>
      </c>
      <c r="H1243" s="68">
        <v>484</v>
      </c>
      <c r="I1243" s="68">
        <v>16</v>
      </c>
      <c r="J1243" s="68"/>
      <c r="K1243" s="68"/>
      <c r="L1243" s="312" t="str">
        <f t="shared" ref="L1243:L1246" si="146">IF(RIGHT(G1243,5)="FRAME","扩展帧CAN消息","")</f>
        <v>扩展帧CAN消息</v>
      </c>
      <c r="M1243" s="68"/>
    </row>
    <row r="1244" spans="1:13">
      <c r="A1244" s="68"/>
      <c r="B1244" s="68"/>
      <c r="C1244" s="68"/>
      <c r="D1244" s="68"/>
      <c r="E1244" s="68"/>
      <c r="F1244" s="68"/>
      <c r="G1244" s="68" t="s">
        <v>799</v>
      </c>
      <c r="H1244" s="68">
        <v>500</v>
      </c>
      <c r="I1244" s="68">
        <v>16</v>
      </c>
      <c r="J1244" s="68"/>
      <c r="K1244" s="68"/>
      <c r="L1244" s="312" t="str">
        <f t="shared" si="146"/>
        <v>扩展帧CAN消息</v>
      </c>
      <c r="M1244" s="68"/>
    </row>
    <row r="1245" spans="1:13">
      <c r="A1245" s="68"/>
      <c r="B1245" s="68"/>
      <c r="C1245" s="68"/>
      <c r="D1245" s="68"/>
      <c r="E1245" s="68"/>
      <c r="F1245" s="68"/>
      <c r="G1245" s="68" t="s">
        <v>800</v>
      </c>
      <c r="H1245" s="68">
        <v>516</v>
      </c>
      <c r="I1245" s="68">
        <v>16</v>
      </c>
      <c r="J1245" s="68"/>
      <c r="K1245" s="68"/>
      <c r="L1245" s="312" t="str">
        <f t="shared" si="146"/>
        <v>扩展帧CAN消息</v>
      </c>
      <c r="M1245" s="68"/>
    </row>
    <row r="1246" spans="1:13">
      <c r="A1246" s="68"/>
      <c r="B1246" s="68"/>
      <c r="C1246" s="68"/>
      <c r="D1246" s="68"/>
      <c r="E1246" s="68"/>
      <c r="F1246" s="68"/>
      <c r="G1246" s="68" t="s">
        <v>801</v>
      </c>
      <c r="H1246" s="68">
        <v>532</v>
      </c>
      <c r="I1246" s="68">
        <v>16</v>
      </c>
      <c r="J1246" s="68"/>
      <c r="K1246" s="68"/>
      <c r="L1246" s="312" t="str">
        <f t="shared" si="146"/>
        <v>扩展帧CAN消息</v>
      </c>
      <c r="M1246" s="68"/>
    </row>
    <row r="1247" spans="1:13">
      <c r="A1247" s="68"/>
      <c r="B1247" s="68"/>
      <c r="C1247" s="68"/>
      <c r="D1247" s="68"/>
      <c r="E1247" s="68"/>
      <c r="F1247" s="68"/>
      <c r="G1247" s="68" t="s">
        <v>20</v>
      </c>
      <c r="H1247" s="68">
        <v>548</v>
      </c>
      <c r="I1247" s="68">
        <v>4</v>
      </c>
      <c r="J1247" s="68"/>
      <c r="K1247" s="68"/>
      <c r="L1247" s="68" t="s">
        <v>376</v>
      </c>
      <c r="M1247" s="68"/>
    </row>
    <row r="1248" spans="1:13">
      <c r="A1248" s="68"/>
      <c r="B1248" s="68"/>
      <c r="C1248" s="68"/>
      <c r="D1248" s="68"/>
      <c r="E1248" s="68"/>
      <c r="F1248" s="68"/>
      <c r="G1248" s="68" t="s">
        <v>802</v>
      </c>
      <c r="H1248" s="68">
        <v>552</v>
      </c>
      <c r="I1248" s="68">
        <v>16</v>
      </c>
      <c r="J1248" s="68"/>
      <c r="K1248" s="68"/>
      <c r="L1248" s="312" t="str">
        <f t="shared" ref="L1248:L1251" si="147">IF(RIGHT(G1248,5)="FRAME","扩展帧CAN消息","")</f>
        <v>扩展帧CAN消息</v>
      </c>
      <c r="M1248" s="68"/>
    </row>
    <row r="1249" spans="1:13">
      <c r="A1249" s="68"/>
      <c r="B1249" s="68"/>
      <c r="C1249" s="68"/>
      <c r="D1249" s="68"/>
      <c r="E1249" s="68"/>
      <c r="F1249" s="68"/>
      <c r="G1249" s="68" t="s">
        <v>803</v>
      </c>
      <c r="H1249" s="68">
        <v>568</v>
      </c>
      <c r="I1249" s="68">
        <v>16</v>
      </c>
      <c r="J1249" s="68"/>
      <c r="K1249" s="68"/>
      <c r="L1249" s="312" t="str">
        <f t="shared" si="147"/>
        <v>扩展帧CAN消息</v>
      </c>
      <c r="M1249" s="68"/>
    </row>
    <row r="1250" spans="1:13">
      <c r="A1250" s="68"/>
      <c r="B1250" s="68"/>
      <c r="C1250" s="68"/>
      <c r="D1250" s="68"/>
      <c r="E1250" s="68"/>
      <c r="F1250" s="68"/>
      <c r="G1250" s="68" t="s">
        <v>804</v>
      </c>
      <c r="H1250" s="68">
        <v>584</v>
      </c>
      <c r="I1250" s="68">
        <v>16</v>
      </c>
      <c r="J1250" s="68"/>
      <c r="K1250" s="68"/>
      <c r="L1250" s="312" t="str">
        <f t="shared" si="147"/>
        <v>扩展帧CAN消息</v>
      </c>
      <c r="M1250" s="68"/>
    </row>
    <row r="1251" spans="1:13">
      <c r="A1251" s="68"/>
      <c r="B1251" s="68"/>
      <c r="C1251" s="68"/>
      <c r="D1251" s="68"/>
      <c r="E1251" s="68"/>
      <c r="F1251" s="68"/>
      <c r="G1251" s="68" t="s">
        <v>805</v>
      </c>
      <c r="H1251" s="68">
        <v>600</v>
      </c>
      <c r="I1251" s="68">
        <v>16</v>
      </c>
      <c r="J1251" s="68"/>
      <c r="K1251" s="68"/>
      <c r="L1251" s="312" t="str">
        <f t="shared" si="147"/>
        <v>扩展帧CAN消息</v>
      </c>
      <c r="M1251" s="68"/>
    </row>
    <row r="1252" spans="1:13">
      <c r="A1252" s="68"/>
      <c r="B1252" s="68"/>
      <c r="C1252" s="68"/>
      <c r="D1252" s="68"/>
      <c r="E1252" s="68"/>
      <c r="F1252" s="68"/>
      <c r="G1252" s="68" t="s">
        <v>20</v>
      </c>
      <c r="H1252" s="68">
        <v>616</v>
      </c>
      <c r="I1252" s="68">
        <v>4</v>
      </c>
      <c r="J1252" s="68"/>
      <c r="K1252" s="68"/>
      <c r="L1252" s="312"/>
      <c r="M1252" s="68"/>
    </row>
    <row r="1253" spans="1:13">
      <c r="A1253" s="68"/>
      <c r="B1253" s="68"/>
      <c r="C1253" s="68"/>
      <c r="D1253" s="68"/>
      <c r="E1253" s="68"/>
      <c r="F1253" s="68"/>
      <c r="G1253" s="68" t="s">
        <v>806</v>
      </c>
      <c r="H1253" s="68">
        <v>620</v>
      </c>
      <c r="I1253" s="68">
        <v>16</v>
      </c>
      <c r="J1253" s="68"/>
      <c r="K1253" s="68"/>
      <c r="L1253" s="312" t="str">
        <f t="shared" ref="L1253:L1256" si="148">IF(RIGHT(G1253,5)="FRAME","扩展帧CAN消息","")</f>
        <v>扩展帧CAN消息</v>
      </c>
      <c r="M1253" s="68"/>
    </row>
    <row r="1254" spans="1:13">
      <c r="A1254" s="68"/>
      <c r="B1254" s="68"/>
      <c r="C1254" s="68"/>
      <c r="D1254" s="68"/>
      <c r="E1254" s="68"/>
      <c r="F1254" s="68"/>
      <c r="G1254" s="68" t="s">
        <v>807</v>
      </c>
      <c r="H1254" s="68">
        <v>636</v>
      </c>
      <c r="I1254" s="68">
        <v>16</v>
      </c>
      <c r="J1254" s="68"/>
      <c r="K1254" s="68"/>
      <c r="L1254" s="312" t="str">
        <f t="shared" si="148"/>
        <v>扩展帧CAN消息</v>
      </c>
      <c r="M1254" s="68"/>
    </row>
    <row r="1255" spans="1:13">
      <c r="A1255" s="68"/>
      <c r="B1255" s="68"/>
      <c r="C1255" s="68"/>
      <c r="D1255" s="68"/>
      <c r="E1255" s="68"/>
      <c r="F1255" s="68"/>
      <c r="G1255" s="68" t="s">
        <v>808</v>
      </c>
      <c r="H1255" s="68">
        <v>652</v>
      </c>
      <c r="I1255" s="68">
        <v>16</v>
      </c>
      <c r="J1255" s="68"/>
      <c r="K1255" s="68"/>
      <c r="L1255" s="312" t="str">
        <f t="shared" si="148"/>
        <v>扩展帧CAN消息</v>
      </c>
      <c r="M1255" s="68"/>
    </row>
    <row r="1256" spans="1:13">
      <c r="A1256" s="68"/>
      <c r="B1256" s="68"/>
      <c r="C1256" s="68"/>
      <c r="D1256" s="68"/>
      <c r="E1256" s="68"/>
      <c r="F1256" s="68"/>
      <c r="G1256" s="68" t="s">
        <v>809</v>
      </c>
      <c r="H1256" s="68">
        <v>668</v>
      </c>
      <c r="I1256" s="68">
        <v>16</v>
      </c>
      <c r="J1256" s="68"/>
      <c r="K1256" s="68"/>
      <c r="L1256" s="312" t="str">
        <f t="shared" si="148"/>
        <v>扩展帧CAN消息</v>
      </c>
      <c r="M1256" s="68"/>
    </row>
    <row r="1257" spans="1:13">
      <c r="A1257" s="68"/>
      <c r="B1257" s="68"/>
      <c r="C1257" s="68"/>
      <c r="D1257" s="68"/>
      <c r="E1257" s="68"/>
      <c r="F1257" s="68"/>
      <c r="G1257" s="68" t="s">
        <v>20</v>
      </c>
      <c r="H1257" s="68">
        <v>684</v>
      </c>
      <c r="I1257" s="68">
        <v>4</v>
      </c>
      <c r="J1257" s="68"/>
      <c r="K1257" s="68"/>
      <c r="L1257" s="312"/>
      <c r="M1257" s="68"/>
    </row>
    <row r="1258" spans="1:13">
      <c r="A1258" s="68"/>
      <c r="B1258" s="68"/>
      <c r="C1258" s="68"/>
      <c r="D1258" s="68"/>
      <c r="E1258" s="68"/>
      <c r="F1258" s="68"/>
      <c r="G1258" s="68" t="s">
        <v>810</v>
      </c>
      <c r="H1258" s="68">
        <v>688</v>
      </c>
      <c r="I1258" s="68">
        <v>16</v>
      </c>
      <c r="J1258" s="68"/>
      <c r="K1258" s="68"/>
      <c r="L1258" s="312" t="str">
        <f t="shared" ref="L1258:L1261" si="149">IF(RIGHT(G1258,5)="FRAME","扩展帧CAN消息","")</f>
        <v>扩展帧CAN消息</v>
      </c>
      <c r="M1258" s="68"/>
    </row>
    <row r="1259" spans="1:13">
      <c r="A1259" s="68"/>
      <c r="B1259" s="68"/>
      <c r="C1259" s="68"/>
      <c r="D1259" s="68"/>
      <c r="E1259" s="68"/>
      <c r="F1259" s="68"/>
      <c r="G1259" s="68" t="s">
        <v>811</v>
      </c>
      <c r="H1259" s="68">
        <v>704</v>
      </c>
      <c r="I1259" s="68">
        <v>16</v>
      </c>
      <c r="J1259" s="68"/>
      <c r="K1259" s="68"/>
      <c r="L1259" s="312" t="str">
        <f t="shared" si="149"/>
        <v>扩展帧CAN消息</v>
      </c>
      <c r="M1259" s="68"/>
    </row>
    <row r="1260" spans="1:13">
      <c r="A1260" s="68"/>
      <c r="B1260" s="68"/>
      <c r="C1260" s="68"/>
      <c r="D1260" s="68"/>
      <c r="E1260" s="68"/>
      <c r="F1260" s="68"/>
      <c r="G1260" s="68" t="s">
        <v>812</v>
      </c>
      <c r="H1260" s="68">
        <v>720</v>
      </c>
      <c r="I1260" s="68">
        <v>16</v>
      </c>
      <c r="J1260" s="68"/>
      <c r="K1260" s="68"/>
      <c r="L1260" s="312" t="str">
        <f t="shared" si="149"/>
        <v>扩展帧CAN消息</v>
      </c>
      <c r="M1260" s="68"/>
    </row>
    <row r="1261" spans="1:13">
      <c r="A1261" s="68"/>
      <c r="B1261" s="68"/>
      <c r="C1261" s="68"/>
      <c r="D1261" s="68"/>
      <c r="E1261" s="68"/>
      <c r="F1261" s="68"/>
      <c r="G1261" s="68" t="s">
        <v>813</v>
      </c>
      <c r="H1261" s="68">
        <v>736</v>
      </c>
      <c r="I1261" s="68">
        <v>16</v>
      </c>
      <c r="J1261" s="68"/>
      <c r="K1261" s="68"/>
      <c r="L1261" s="312" t="str">
        <f t="shared" si="149"/>
        <v>扩展帧CAN消息</v>
      </c>
      <c r="M1261" s="68"/>
    </row>
    <row r="1262" spans="1:13">
      <c r="A1262" s="68"/>
      <c r="B1262" s="68"/>
      <c r="C1262" s="68"/>
      <c r="D1262" s="68"/>
      <c r="E1262" s="68"/>
      <c r="F1262" s="68"/>
      <c r="G1262" s="68" t="s">
        <v>20</v>
      </c>
      <c r="H1262" s="68">
        <v>752</v>
      </c>
      <c r="I1262" s="68">
        <v>4</v>
      </c>
      <c r="J1262" s="68"/>
      <c r="K1262" s="68"/>
      <c r="L1262" s="68" t="s">
        <v>376</v>
      </c>
      <c r="M1262" s="68"/>
    </row>
    <row r="1263" spans="1:13">
      <c r="A1263" s="68"/>
      <c r="B1263" s="68"/>
      <c r="C1263" s="68"/>
      <c r="D1263" s="68"/>
      <c r="E1263" s="68"/>
      <c r="F1263" s="68"/>
      <c r="G1263" s="68" t="s">
        <v>814</v>
      </c>
      <c r="H1263" s="68">
        <v>756</v>
      </c>
      <c r="I1263" s="68">
        <v>16</v>
      </c>
      <c r="J1263" s="68"/>
      <c r="K1263" s="68"/>
      <c r="L1263" s="312" t="str">
        <f t="shared" ref="L1263:L1266" si="150">IF(RIGHT(G1263,5)="FRAME","扩展帧CAN消息","")</f>
        <v>扩展帧CAN消息</v>
      </c>
      <c r="M1263" s="68"/>
    </row>
    <row r="1264" spans="1:13">
      <c r="A1264" s="68"/>
      <c r="B1264" s="68"/>
      <c r="C1264" s="68"/>
      <c r="D1264" s="68"/>
      <c r="E1264" s="68"/>
      <c r="F1264" s="68"/>
      <c r="G1264" s="68" t="s">
        <v>815</v>
      </c>
      <c r="H1264" s="68">
        <v>772</v>
      </c>
      <c r="I1264" s="68">
        <v>16</v>
      </c>
      <c r="J1264" s="68"/>
      <c r="K1264" s="68"/>
      <c r="L1264" s="312" t="str">
        <f t="shared" si="150"/>
        <v>扩展帧CAN消息</v>
      </c>
      <c r="M1264" s="68"/>
    </row>
    <row r="1265" spans="1:13">
      <c r="A1265" s="68"/>
      <c r="B1265" s="68"/>
      <c r="C1265" s="68"/>
      <c r="D1265" s="68"/>
      <c r="E1265" s="68"/>
      <c r="F1265" s="68"/>
      <c r="G1265" s="68" t="s">
        <v>816</v>
      </c>
      <c r="H1265" s="68">
        <v>788</v>
      </c>
      <c r="I1265" s="68">
        <v>16</v>
      </c>
      <c r="J1265" s="68"/>
      <c r="K1265" s="68"/>
      <c r="L1265" s="312" t="str">
        <f t="shared" si="150"/>
        <v>扩展帧CAN消息</v>
      </c>
      <c r="M1265" s="68"/>
    </row>
    <row r="1266" spans="1:13">
      <c r="A1266" s="68"/>
      <c r="B1266" s="68"/>
      <c r="C1266" s="68"/>
      <c r="D1266" s="68"/>
      <c r="E1266" s="68"/>
      <c r="F1266" s="68"/>
      <c r="G1266" s="68" t="s">
        <v>817</v>
      </c>
      <c r="H1266" s="68">
        <v>804</v>
      </c>
      <c r="I1266" s="68">
        <v>16</v>
      </c>
      <c r="J1266" s="68"/>
      <c r="K1266" s="68"/>
      <c r="L1266" s="312" t="str">
        <f t="shared" si="150"/>
        <v>扩展帧CAN消息</v>
      </c>
      <c r="M1266" s="68"/>
    </row>
    <row r="1267" spans="1:13">
      <c r="A1267" s="68"/>
      <c r="B1267" s="68"/>
      <c r="C1267" s="68"/>
      <c r="D1267" s="68"/>
      <c r="E1267" s="68"/>
      <c r="F1267" s="68"/>
      <c r="G1267" s="68" t="s">
        <v>20</v>
      </c>
      <c r="H1267" s="68">
        <v>820</v>
      </c>
      <c r="I1267" s="68">
        <v>4</v>
      </c>
      <c r="J1267" s="68"/>
      <c r="K1267" s="68"/>
      <c r="L1267" s="312"/>
      <c r="M1267" s="68"/>
    </row>
    <row r="1268" spans="1:13">
      <c r="A1268" s="68"/>
      <c r="B1268" s="68"/>
      <c r="C1268" s="68"/>
      <c r="D1268" s="68"/>
      <c r="E1268" s="68"/>
      <c r="F1268" s="68"/>
      <c r="G1268" s="68" t="s">
        <v>818</v>
      </c>
      <c r="H1268" s="68">
        <v>824</v>
      </c>
      <c r="I1268" s="68">
        <v>16</v>
      </c>
      <c r="J1268" s="68"/>
      <c r="K1268" s="68"/>
      <c r="L1268" s="312" t="str">
        <f t="shared" ref="L1268:L1271" si="151">IF(RIGHT(G1268,5)="FRAME","扩展帧CAN消息","")</f>
        <v>扩展帧CAN消息</v>
      </c>
      <c r="M1268" s="68"/>
    </row>
    <row r="1269" spans="1:13">
      <c r="A1269" s="68"/>
      <c r="B1269" s="68"/>
      <c r="C1269" s="68"/>
      <c r="D1269" s="68"/>
      <c r="E1269" s="68"/>
      <c r="F1269" s="68"/>
      <c r="G1269" s="68" t="s">
        <v>819</v>
      </c>
      <c r="H1269" s="68">
        <v>840</v>
      </c>
      <c r="I1269" s="68">
        <v>16</v>
      </c>
      <c r="J1269" s="68"/>
      <c r="K1269" s="68"/>
      <c r="L1269" s="312" t="str">
        <f t="shared" si="151"/>
        <v>扩展帧CAN消息</v>
      </c>
      <c r="M1269" s="68"/>
    </row>
    <row r="1270" spans="1:13">
      <c r="A1270" s="68"/>
      <c r="B1270" s="68"/>
      <c r="C1270" s="68"/>
      <c r="D1270" s="68"/>
      <c r="E1270" s="68"/>
      <c r="F1270" s="68"/>
      <c r="G1270" s="68" t="s">
        <v>820</v>
      </c>
      <c r="H1270" s="68">
        <v>856</v>
      </c>
      <c r="I1270" s="68">
        <v>16</v>
      </c>
      <c r="J1270" s="68"/>
      <c r="K1270" s="68"/>
      <c r="L1270" s="312" t="str">
        <f t="shared" si="151"/>
        <v>扩展帧CAN消息</v>
      </c>
      <c r="M1270" s="68"/>
    </row>
    <row r="1271" spans="1:13">
      <c r="A1271" s="68"/>
      <c r="B1271" s="68"/>
      <c r="C1271" s="68"/>
      <c r="D1271" s="68"/>
      <c r="E1271" s="68"/>
      <c r="F1271" s="68"/>
      <c r="G1271" s="68" t="s">
        <v>821</v>
      </c>
      <c r="H1271" s="68">
        <v>872</v>
      </c>
      <c r="I1271" s="68">
        <v>16</v>
      </c>
      <c r="J1271" s="68"/>
      <c r="K1271" s="68"/>
      <c r="L1271" s="312" t="str">
        <f t="shared" si="151"/>
        <v>扩展帧CAN消息</v>
      </c>
      <c r="M1271" s="68"/>
    </row>
    <row r="1272" spans="1:13">
      <c r="A1272" s="68"/>
      <c r="B1272" s="68"/>
      <c r="C1272" s="68"/>
      <c r="D1272" s="68"/>
      <c r="E1272" s="68"/>
      <c r="F1272" s="68"/>
      <c r="G1272" s="68" t="s">
        <v>20</v>
      </c>
      <c r="H1272" s="68">
        <v>888</v>
      </c>
      <c r="I1272" s="68">
        <v>4</v>
      </c>
      <c r="J1272" s="68"/>
      <c r="K1272" s="68"/>
      <c r="L1272" s="312"/>
      <c r="M1272" s="68"/>
    </row>
    <row r="1273" spans="1:13">
      <c r="A1273" s="68"/>
      <c r="B1273" s="68"/>
      <c r="C1273" s="68"/>
      <c r="D1273" s="68"/>
      <c r="E1273" s="68"/>
      <c r="F1273" s="68"/>
      <c r="G1273" s="68" t="s">
        <v>822</v>
      </c>
      <c r="H1273" s="68">
        <v>892</v>
      </c>
      <c r="I1273" s="68">
        <v>16</v>
      </c>
      <c r="J1273" s="68"/>
      <c r="K1273" s="68"/>
      <c r="L1273" s="312" t="str">
        <f t="shared" ref="L1273:L1276" si="152">IF(RIGHT(G1273,5)="FRAME","扩展帧CAN消息","")</f>
        <v>扩展帧CAN消息</v>
      </c>
      <c r="M1273" s="68"/>
    </row>
    <row r="1274" spans="1:13">
      <c r="A1274" s="68"/>
      <c r="B1274" s="68"/>
      <c r="C1274" s="68"/>
      <c r="D1274" s="68"/>
      <c r="E1274" s="68"/>
      <c r="F1274" s="68"/>
      <c r="G1274" s="68" t="s">
        <v>823</v>
      </c>
      <c r="H1274" s="68">
        <v>908</v>
      </c>
      <c r="I1274" s="68">
        <v>16</v>
      </c>
      <c r="J1274" s="68"/>
      <c r="K1274" s="68"/>
      <c r="L1274" s="312" t="str">
        <f t="shared" si="152"/>
        <v>扩展帧CAN消息</v>
      </c>
      <c r="M1274" s="68"/>
    </row>
    <row r="1275" spans="1:13">
      <c r="A1275" s="68"/>
      <c r="B1275" s="68"/>
      <c r="C1275" s="68"/>
      <c r="D1275" s="68"/>
      <c r="E1275" s="68"/>
      <c r="F1275" s="68"/>
      <c r="G1275" s="68" t="s">
        <v>824</v>
      </c>
      <c r="H1275" s="68">
        <v>924</v>
      </c>
      <c r="I1275" s="68">
        <v>16</v>
      </c>
      <c r="J1275" s="68"/>
      <c r="K1275" s="68"/>
      <c r="L1275" s="312" t="str">
        <f t="shared" si="152"/>
        <v>扩展帧CAN消息</v>
      </c>
      <c r="M1275" s="68"/>
    </row>
    <row r="1276" spans="1:13">
      <c r="A1276" s="68"/>
      <c r="B1276" s="68"/>
      <c r="C1276" s="68"/>
      <c r="D1276" s="68"/>
      <c r="E1276" s="68"/>
      <c r="F1276" s="68"/>
      <c r="G1276" s="68" t="s">
        <v>825</v>
      </c>
      <c r="H1276" s="68">
        <v>940</v>
      </c>
      <c r="I1276" s="68">
        <v>16</v>
      </c>
      <c r="J1276" s="68"/>
      <c r="K1276" s="68"/>
      <c r="L1276" s="312" t="str">
        <f t="shared" si="152"/>
        <v>扩展帧CAN消息</v>
      </c>
      <c r="M1276" s="68"/>
    </row>
    <row r="1277" spans="1:13">
      <c r="A1277" s="68"/>
      <c r="B1277" s="68"/>
      <c r="C1277" s="68"/>
      <c r="D1277" s="68"/>
      <c r="E1277" s="68"/>
      <c r="F1277" s="68"/>
      <c r="G1277" s="68" t="s">
        <v>20</v>
      </c>
      <c r="H1277" s="68">
        <v>956</v>
      </c>
      <c r="I1277" s="68">
        <v>4</v>
      </c>
      <c r="J1277" s="68"/>
      <c r="K1277" s="68"/>
      <c r="L1277" s="68" t="s">
        <v>376</v>
      </c>
      <c r="M1277" s="68"/>
    </row>
    <row r="1278" spans="1:13">
      <c r="A1278" s="68"/>
      <c r="B1278" s="68"/>
      <c r="C1278" s="68"/>
      <c r="D1278" s="68"/>
      <c r="E1278" s="68"/>
      <c r="F1278" s="68"/>
      <c r="G1278" s="68" t="s">
        <v>826</v>
      </c>
      <c r="H1278" s="68">
        <v>960</v>
      </c>
      <c r="I1278" s="68">
        <v>16</v>
      </c>
      <c r="J1278" s="68"/>
      <c r="K1278" s="68"/>
      <c r="L1278" s="312" t="str">
        <f t="shared" ref="L1278:L1281" si="153">IF(RIGHT(G1278,5)="FRAME","扩展帧CAN消息","")</f>
        <v>扩展帧CAN消息</v>
      </c>
      <c r="M1278" s="68"/>
    </row>
    <row r="1279" spans="1:13">
      <c r="A1279" s="68"/>
      <c r="B1279" s="68"/>
      <c r="C1279" s="68"/>
      <c r="D1279" s="68"/>
      <c r="E1279" s="68"/>
      <c r="F1279" s="68"/>
      <c r="G1279" s="68" t="s">
        <v>827</v>
      </c>
      <c r="H1279" s="68">
        <v>976</v>
      </c>
      <c r="I1279" s="68">
        <v>16</v>
      </c>
      <c r="J1279" s="68"/>
      <c r="K1279" s="68"/>
      <c r="L1279" s="312" t="str">
        <f t="shared" si="153"/>
        <v>扩展帧CAN消息</v>
      </c>
      <c r="M1279" s="68"/>
    </row>
    <row r="1280" spans="1:13">
      <c r="A1280" s="68"/>
      <c r="B1280" s="68"/>
      <c r="C1280" s="68"/>
      <c r="D1280" s="68"/>
      <c r="E1280" s="68"/>
      <c r="F1280" s="68"/>
      <c r="G1280" s="68" t="s">
        <v>828</v>
      </c>
      <c r="H1280" s="68">
        <v>992</v>
      </c>
      <c r="I1280" s="68">
        <v>16</v>
      </c>
      <c r="J1280" s="68"/>
      <c r="K1280" s="68"/>
      <c r="L1280" s="312" t="str">
        <f t="shared" si="153"/>
        <v>扩展帧CAN消息</v>
      </c>
      <c r="M1280" s="68"/>
    </row>
    <row r="1281" spans="1:13">
      <c r="A1281" s="68"/>
      <c r="B1281" s="68"/>
      <c r="C1281" s="68"/>
      <c r="D1281" s="68"/>
      <c r="E1281" s="68"/>
      <c r="F1281" s="68"/>
      <c r="G1281" s="68" t="s">
        <v>829</v>
      </c>
      <c r="H1281" s="68">
        <v>1008</v>
      </c>
      <c r="I1281" s="68">
        <v>16</v>
      </c>
      <c r="J1281" s="68"/>
      <c r="K1281" s="68"/>
      <c r="L1281" s="312" t="str">
        <f t="shared" si="153"/>
        <v>扩展帧CAN消息</v>
      </c>
      <c r="M1281" s="68"/>
    </row>
    <row r="1282" spans="1:13">
      <c r="A1282" s="68"/>
      <c r="B1282" s="68"/>
      <c r="C1282" s="68"/>
      <c r="D1282" s="68"/>
      <c r="E1282" s="68"/>
      <c r="F1282" s="68"/>
      <c r="G1282" s="68" t="s">
        <v>20</v>
      </c>
      <c r="H1282" s="68">
        <v>1024</v>
      </c>
      <c r="I1282" s="68">
        <v>4</v>
      </c>
      <c r="J1282" s="68"/>
      <c r="K1282" s="68"/>
      <c r="L1282" s="312"/>
      <c r="M1282" s="68"/>
    </row>
    <row r="1283" spans="1:13">
      <c r="A1283" s="68"/>
      <c r="B1283" s="68"/>
      <c r="C1283" s="68"/>
      <c r="D1283" s="68"/>
      <c r="E1283" s="68"/>
      <c r="F1283" s="68"/>
      <c r="G1283" s="68" t="s">
        <v>830</v>
      </c>
      <c r="H1283" s="68">
        <v>1028</v>
      </c>
      <c r="I1283" s="68">
        <v>16</v>
      </c>
      <c r="J1283" s="68"/>
      <c r="K1283" s="68"/>
      <c r="L1283" s="312" t="str">
        <f t="shared" ref="L1283:L1286" si="154">IF(RIGHT(G1283,5)="FRAME","扩展帧CAN消息","")</f>
        <v>扩展帧CAN消息</v>
      </c>
      <c r="M1283" s="68"/>
    </row>
    <row r="1284" spans="1:13">
      <c r="A1284" s="68"/>
      <c r="B1284" s="68"/>
      <c r="C1284" s="68"/>
      <c r="D1284" s="68"/>
      <c r="E1284" s="68"/>
      <c r="F1284" s="68"/>
      <c r="G1284" s="68" t="s">
        <v>831</v>
      </c>
      <c r="H1284" s="68">
        <v>1044</v>
      </c>
      <c r="I1284" s="68">
        <v>16</v>
      </c>
      <c r="J1284" s="68"/>
      <c r="K1284" s="68"/>
      <c r="L1284" s="312" t="str">
        <f t="shared" si="154"/>
        <v>扩展帧CAN消息</v>
      </c>
      <c r="M1284" s="68"/>
    </row>
    <row r="1285" spans="1:13">
      <c r="A1285" s="68"/>
      <c r="B1285" s="68"/>
      <c r="C1285" s="68"/>
      <c r="D1285" s="68"/>
      <c r="E1285" s="68"/>
      <c r="F1285" s="68"/>
      <c r="G1285" s="68" t="s">
        <v>832</v>
      </c>
      <c r="H1285" s="68">
        <v>1060</v>
      </c>
      <c r="I1285" s="68">
        <v>16</v>
      </c>
      <c r="J1285" s="68"/>
      <c r="K1285" s="68"/>
      <c r="L1285" s="312" t="str">
        <f t="shared" si="154"/>
        <v>扩展帧CAN消息</v>
      </c>
      <c r="M1285" s="68"/>
    </row>
    <row r="1286" spans="1:13">
      <c r="A1286" s="68"/>
      <c r="B1286" s="68"/>
      <c r="C1286" s="68"/>
      <c r="D1286" s="68"/>
      <c r="E1286" s="68"/>
      <c r="F1286" s="68"/>
      <c r="G1286" s="68" t="s">
        <v>833</v>
      </c>
      <c r="H1286" s="68">
        <v>1076</v>
      </c>
      <c r="I1286" s="68">
        <v>16</v>
      </c>
      <c r="J1286" s="68"/>
      <c r="K1286" s="68"/>
      <c r="L1286" s="312" t="str">
        <f t="shared" si="154"/>
        <v>扩展帧CAN消息</v>
      </c>
      <c r="M1286" s="68"/>
    </row>
    <row r="1287" spans="1:13">
      <c r="A1287" s="68"/>
      <c r="B1287" s="68"/>
      <c r="C1287" s="68"/>
      <c r="D1287" s="68"/>
      <c r="E1287" s="68"/>
      <c r="F1287" s="68"/>
      <c r="G1287" s="68" t="s">
        <v>20</v>
      </c>
      <c r="H1287" s="68">
        <v>1092</v>
      </c>
      <c r="I1287" s="68">
        <v>4</v>
      </c>
      <c r="J1287" s="68"/>
      <c r="K1287" s="68"/>
      <c r="L1287" s="312"/>
      <c r="M1287" s="68"/>
    </row>
    <row r="1288" spans="1:13">
      <c r="A1288" s="68"/>
      <c r="B1288" s="68"/>
      <c r="C1288" s="68"/>
      <c r="D1288" s="68"/>
      <c r="E1288" s="68"/>
      <c r="F1288" s="68"/>
      <c r="G1288" s="68" t="s">
        <v>834</v>
      </c>
      <c r="H1288" s="68">
        <v>1096</v>
      </c>
      <c r="I1288" s="68">
        <v>16</v>
      </c>
      <c r="J1288" s="68"/>
      <c r="K1288" s="68"/>
      <c r="L1288" s="312" t="str">
        <f t="shared" ref="L1288:L1294" si="155">IF(RIGHT(G1288,5)="FRAME","扩展帧CAN消息","")</f>
        <v>扩展帧CAN消息</v>
      </c>
      <c r="M1288" s="68"/>
    </row>
    <row r="1289" spans="1:13">
      <c r="A1289" s="68" t="s">
        <v>410</v>
      </c>
      <c r="B1289" s="68" t="s">
        <v>835</v>
      </c>
      <c r="C1289" s="68" t="s">
        <v>213</v>
      </c>
      <c r="D1289" s="68" t="s">
        <v>317</v>
      </c>
      <c r="E1289" s="68">
        <v>7070</v>
      </c>
      <c r="F1289" s="68" t="s">
        <v>86</v>
      </c>
      <c r="G1289" s="68" t="s">
        <v>18</v>
      </c>
      <c r="H1289" s="68">
        <v>0</v>
      </c>
      <c r="I1289" s="68">
        <v>4</v>
      </c>
      <c r="J1289" s="70" t="s">
        <v>77</v>
      </c>
      <c r="K1289" s="70">
        <v>1000</v>
      </c>
      <c r="L1289" s="312"/>
      <c r="M1289" s="68">
        <v>1102201</v>
      </c>
    </row>
    <row r="1290" spans="1:13">
      <c r="A1290" s="68"/>
      <c r="B1290" s="68"/>
      <c r="C1290" s="68"/>
      <c r="D1290" s="68"/>
      <c r="E1290" s="68"/>
      <c r="F1290" s="68"/>
      <c r="G1290" s="68" t="s">
        <v>20</v>
      </c>
      <c r="H1290" s="68">
        <v>4</v>
      </c>
      <c r="I1290" s="68">
        <v>4</v>
      </c>
      <c r="J1290" s="70"/>
      <c r="K1290" s="70"/>
      <c r="L1290" s="312"/>
      <c r="M1290" s="68"/>
    </row>
    <row r="1291" spans="1:13">
      <c r="A1291" s="68"/>
      <c r="B1291" s="68"/>
      <c r="C1291" s="68"/>
      <c r="D1291" s="68"/>
      <c r="E1291" s="68"/>
      <c r="F1291" s="68"/>
      <c r="G1291" s="68" t="s">
        <v>836</v>
      </c>
      <c r="H1291" s="68">
        <f t="shared" ref="H1291:H1338" si="156">H1290+I1290</f>
        <v>8</v>
      </c>
      <c r="I1291" s="68">
        <v>16</v>
      </c>
      <c r="J1291" s="70"/>
      <c r="K1291" s="70"/>
      <c r="L1291" s="312" t="str">
        <f t="shared" si="155"/>
        <v>扩展帧CAN消息</v>
      </c>
      <c r="M1291" s="68"/>
    </row>
    <row r="1292" spans="1:13">
      <c r="A1292" s="68"/>
      <c r="B1292" s="68"/>
      <c r="C1292" s="68"/>
      <c r="D1292" s="68"/>
      <c r="E1292" s="68"/>
      <c r="F1292" s="68"/>
      <c r="G1292" s="68" t="s">
        <v>837</v>
      </c>
      <c r="H1292" s="68">
        <f t="shared" si="156"/>
        <v>24</v>
      </c>
      <c r="I1292" s="68">
        <v>16</v>
      </c>
      <c r="J1292" s="70"/>
      <c r="K1292" s="70"/>
      <c r="L1292" s="312" t="str">
        <f t="shared" si="155"/>
        <v>扩展帧CAN消息</v>
      </c>
      <c r="M1292" s="68"/>
    </row>
    <row r="1293" spans="1:13">
      <c r="A1293" s="68"/>
      <c r="B1293" s="68"/>
      <c r="C1293" s="68"/>
      <c r="D1293" s="68"/>
      <c r="E1293" s="68"/>
      <c r="F1293" s="68"/>
      <c r="G1293" s="68" t="s">
        <v>838</v>
      </c>
      <c r="H1293" s="68">
        <f t="shared" si="156"/>
        <v>40</v>
      </c>
      <c r="I1293" s="68">
        <v>16</v>
      </c>
      <c r="J1293" s="70"/>
      <c r="K1293" s="70"/>
      <c r="L1293" s="312" t="str">
        <f t="shared" si="155"/>
        <v>扩展帧CAN消息</v>
      </c>
      <c r="M1293" s="68"/>
    </row>
    <row r="1294" spans="1:13">
      <c r="A1294" s="68"/>
      <c r="B1294" s="68"/>
      <c r="C1294" s="68"/>
      <c r="D1294" s="68"/>
      <c r="E1294" s="68"/>
      <c r="F1294" s="68"/>
      <c r="G1294" s="68" t="s">
        <v>839</v>
      </c>
      <c r="H1294" s="68">
        <f t="shared" si="156"/>
        <v>56</v>
      </c>
      <c r="I1294" s="68">
        <v>16</v>
      </c>
      <c r="J1294" s="70"/>
      <c r="K1294" s="70"/>
      <c r="L1294" s="312" t="str">
        <f t="shared" si="155"/>
        <v>扩展帧CAN消息</v>
      </c>
      <c r="M1294" s="68"/>
    </row>
    <row r="1295" spans="1:13">
      <c r="A1295" s="68"/>
      <c r="B1295" s="68"/>
      <c r="C1295" s="68"/>
      <c r="D1295" s="68"/>
      <c r="E1295" s="68"/>
      <c r="F1295" s="68"/>
      <c r="G1295" s="68" t="s">
        <v>20</v>
      </c>
      <c r="H1295" s="68">
        <f t="shared" si="156"/>
        <v>72</v>
      </c>
      <c r="I1295" s="68">
        <v>4</v>
      </c>
      <c r="J1295" s="70"/>
      <c r="K1295" s="70"/>
      <c r="L1295" s="312"/>
      <c r="M1295" s="68"/>
    </row>
    <row r="1296" spans="1:13">
      <c r="A1296" s="68"/>
      <c r="B1296" s="68"/>
      <c r="C1296" s="68"/>
      <c r="D1296" s="68"/>
      <c r="E1296" s="68"/>
      <c r="F1296" s="68"/>
      <c r="G1296" s="68" t="s">
        <v>840</v>
      </c>
      <c r="H1296" s="68">
        <f t="shared" si="156"/>
        <v>76</v>
      </c>
      <c r="I1296" s="68">
        <v>16</v>
      </c>
      <c r="J1296" s="70"/>
      <c r="K1296" s="70"/>
      <c r="L1296" s="312" t="str">
        <f t="shared" ref="L1296:L1299" si="157">IF(RIGHT(G1296,5)="FRAME","扩展帧CAN消息","")</f>
        <v>扩展帧CAN消息</v>
      </c>
      <c r="M1296" s="68"/>
    </row>
    <row r="1297" spans="1:13">
      <c r="A1297" s="68"/>
      <c r="B1297" s="68"/>
      <c r="C1297" s="68"/>
      <c r="D1297" s="68"/>
      <c r="E1297" s="68"/>
      <c r="F1297" s="68"/>
      <c r="G1297" s="68" t="s">
        <v>841</v>
      </c>
      <c r="H1297" s="68">
        <f t="shared" si="156"/>
        <v>92</v>
      </c>
      <c r="I1297" s="68">
        <v>16</v>
      </c>
      <c r="J1297" s="70"/>
      <c r="K1297" s="70"/>
      <c r="L1297" s="312" t="str">
        <f t="shared" si="157"/>
        <v>扩展帧CAN消息</v>
      </c>
      <c r="M1297" s="68"/>
    </row>
    <row r="1298" spans="1:13">
      <c r="A1298" s="68"/>
      <c r="B1298" s="68"/>
      <c r="C1298" s="68"/>
      <c r="D1298" s="68"/>
      <c r="E1298" s="68"/>
      <c r="F1298" s="68"/>
      <c r="G1298" s="68" t="s">
        <v>842</v>
      </c>
      <c r="H1298" s="68">
        <f t="shared" si="156"/>
        <v>108</v>
      </c>
      <c r="I1298" s="68">
        <v>16</v>
      </c>
      <c r="J1298" s="70"/>
      <c r="K1298" s="70"/>
      <c r="L1298" s="312" t="str">
        <f t="shared" si="157"/>
        <v>扩展帧CAN消息</v>
      </c>
      <c r="M1298" s="68"/>
    </row>
    <row r="1299" spans="1:13">
      <c r="A1299" s="68"/>
      <c r="B1299" s="68"/>
      <c r="C1299" s="68"/>
      <c r="D1299" s="68"/>
      <c r="E1299" s="68"/>
      <c r="F1299" s="68"/>
      <c r="G1299" s="68" t="s">
        <v>843</v>
      </c>
      <c r="H1299" s="68">
        <f t="shared" si="156"/>
        <v>124</v>
      </c>
      <c r="I1299" s="68">
        <v>16</v>
      </c>
      <c r="J1299" s="70"/>
      <c r="K1299" s="70"/>
      <c r="L1299" s="312" t="str">
        <f t="shared" si="157"/>
        <v>扩展帧CAN消息</v>
      </c>
      <c r="M1299" s="68"/>
    </row>
    <row r="1300" spans="1:13">
      <c r="A1300" s="68"/>
      <c r="B1300" s="68"/>
      <c r="C1300" s="68"/>
      <c r="D1300" s="68"/>
      <c r="E1300" s="68"/>
      <c r="F1300" s="68"/>
      <c r="G1300" s="68" t="s">
        <v>20</v>
      </c>
      <c r="H1300" s="68">
        <f t="shared" si="156"/>
        <v>140</v>
      </c>
      <c r="I1300" s="68">
        <v>4</v>
      </c>
      <c r="J1300" s="70"/>
      <c r="K1300" s="70"/>
      <c r="L1300" s="312"/>
      <c r="M1300" s="68"/>
    </row>
    <row r="1301" spans="1:13">
      <c r="A1301" s="68"/>
      <c r="B1301" s="68"/>
      <c r="C1301" s="68"/>
      <c r="D1301" s="68"/>
      <c r="E1301" s="68"/>
      <c r="F1301" s="68"/>
      <c r="G1301" s="68" t="s">
        <v>844</v>
      </c>
      <c r="H1301" s="68">
        <f t="shared" si="156"/>
        <v>144</v>
      </c>
      <c r="I1301" s="68">
        <v>16</v>
      </c>
      <c r="J1301" s="70"/>
      <c r="K1301" s="70"/>
      <c r="L1301" s="312" t="str">
        <f t="shared" ref="L1301:L1304" si="158">IF(RIGHT(G1301,5)="FRAME","扩展帧CAN消息","")</f>
        <v>扩展帧CAN消息</v>
      </c>
      <c r="M1301" s="68"/>
    </row>
    <row r="1302" spans="1:13">
      <c r="A1302" s="68"/>
      <c r="B1302" s="68"/>
      <c r="C1302" s="68"/>
      <c r="D1302" s="68"/>
      <c r="E1302" s="68"/>
      <c r="F1302" s="68"/>
      <c r="G1302" s="68" t="s">
        <v>845</v>
      </c>
      <c r="H1302" s="68">
        <f t="shared" si="156"/>
        <v>160</v>
      </c>
      <c r="I1302" s="68">
        <v>16</v>
      </c>
      <c r="J1302" s="70"/>
      <c r="K1302" s="70"/>
      <c r="L1302" s="312" t="str">
        <f t="shared" si="158"/>
        <v>扩展帧CAN消息</v>
      </c>
      <c r="M1302" s="68"/>
    </row>
    <row r="1303" spans="1:13">
      <c r="A1303" s="68"/>
      <c r="B1303" s="68"/>
      <c r="C1303" s="68"/>
      <c r="D1303" s="68"/>
      <c r="E1303" s="68"/>
      <c r="F1303" s="68"/>
      <c r="G1303" s="68" t="s">
        <v>846</v>
      </c>
      <c r="H1303" s="68">
        <f t="shared" si="156"/>
        <v>176</v>
      </c>
      <c r="I1303" s="68">
        <v>16</v>
      </c>
      <c r="J1303" s="70"/>
      <c r="K1303" s="70"/>
      <c r="L1303" s="312" t="str">
        <f t="shared" si="158"/>
        <v>扩展帧CAN消息</v>
      </c>
      <c r="M1303" s="68"/>
    </row>
    <row r="1304" spans="1:13">
      <c r="A1304" s="68"/>
      <c r="B1304" s="68"/>
      <c r="C1304" s="68"/>
      <c r="D1304" s="68"/>
      <c r="E1304" s="68"/>
      <c r="F1304" s="68"/>
      <c r="G1304" s="68" t="s">
        <v>847</v>
      </c>
      <c r="H1304" s="68">
        <f t="shared" si="156"/>
        <v>192</v>
      </c>
      <c r="I1304" s="68">
        <v>16</v>
      </c>
      <c r="J1304" s="70"/>
      <c r="K1304" s="70"/>
      <c r="L1304" s="312" t="str">
        <f t="shared" si="158"/>
        <v>扩展帧CAN消息</v>
      </c>
      <c r="M1304" s="68"/>
    </row>
    <row r="1305" spans="1:13">
      <c r="A1305" s="68"/>
      <c r="B1305" s="68"/>
      <c r="C1305" s="68"/>
      <c r="D1305" s="68"/>
      <c r="E1305" s="68"/>
      <c r="F1305" s="68"/>
      <c r="G1305" s="68" t="s">
        <v>20</v>
      </c>
      <c r="H1305" s="68">
        <f t="shared" si="156"/>
        <v>208</v>
      </c>
      <c r="I1305" s="68">
        <v>4</v>
      </c>
      <c r="J1305" s="70"/>
      <c r="K1305" s="70"/>
      <c r="L1305" s="312"/>
      <c r="M1305" s="68"/>
    </row>
    <row r="1306" spans="1:13">
      <c r="A1306" s="68"/>
      <c r="B1306" s="68"/>
      <c r="C1306" s="68"/>
      <c r="D1306" s="68"/>
      <c r="E1306" s="68"/>
      <c r="F1306" s="68"/>
      <c r="G1306" s="68" t="s">
        <v>848</v>
      </c>
      <c r="H1306" s="68">
        <f t="shared" si="156"/>
        <v>212</v>
      </c>
      <c r="I1306" s="68">
        <v>16</v>
      </c>
      <c r="J1306" s="70"/>
      <c r="K1306" s="70"/>
      <c r="L1306" s="312" t="str">
        <f t="shared" ref="L1306:L1309" si="159">IF(RIGHT(G1306,5)="FRAME","扩展帧CAN消息","")</f>
        <v>扩展帧CAN消息</v>
      </c>
      <c r="M1306" s="68"/>
    </row>
    <row r="1307" spans="1:13">
      <c r="A1307" s="68"/>
      <c r="B1307" s="68"/>
      <c r="C1307" s="68"/>
      <c r="D1307" s="68"/>
      <c r="E1307" s="68"/>
      <c r="F1307" s="68"/>
      <c r="G1307" s="68" t="s">
        <v>849</v>
      </c>
      <c r="H1307" s="68">
        <f t="shared" si="156"/>
        <v>228</v>
      </c>
      <c r="I1307" s="68">
        <v>16</v>
      </c>
      <c r="J1307" s="70"/>
      <c r="K1307" s="70"/>
      <c r="L1307" s="312" t="str">
        <f t="shared" si="159"/>
        <v>扩展帧CAN消息</v>
      </c>
      <c r="M1307" s="68"/>
    </row>
    <row r="1308" spans="1:13">
      <c r="A1308" s="68"/>
      <c r="B1308" s="68"/>
      <c r="C1308" s="68"/>
      <c r="D1308" s="68"/>
      <c r="E1308" s="68"/>
      <c r="F1308" s="68"/>
      <c r="G1308" s="68" t="s">
        <v>850</v>
      </c>
      <c r="H1308" s="68">
        <f t="shared" si="156"/>
        <v>244</v>
      </c>
      <c r="I1308" s="68">
        <v>16</v>
      </c>
      <c r="J1308" s="70"/>
      <c r="K1308" s="70"/>
      <c r="L1308" s="312" t="str">
        <f t="shared" si="159"/>
        <v>扩展帧CAN消息</v>
      </c>
      <c r="M1308" s="68"/>
    </row>
    <row r="1309" spans="1:13">
      <c r="A1309" s="68"/>
      <c r="B1309" s="68"/>
      <c r="C1309" s="68"/>
      <c r="D1309" s="68"/>
      <c r="E1309" s="68"/>
      <c r="F1309" s="68"/>
      <c r="G1309" s="68" t="s">
        <v>851</v>
      </c>
      <c r="H1309" s="68">
        <f t="shared" si="156"/>
        <v>260</v>
      </c>
      <c r="I1309" s="68">
        <v>16</v>
      </c>
      <c r="J1309" s="70"/>
      <c r="K1309" s="70"/>
      <c r="L1309" s="312" t="str">
        <f t="shared" si="159"/>
        <v>扩展帧CAN消息</v>
      </c>
      <c r="M1309" s="68"/>
    </row>
    <row r="1310" spans="1:13">
      <c r="A1310" s="68"/>
      <c r="B1310" s="68"/>
      <c r="C1310" s="68"/>
      <c r="D1310" s="68"/>
      <c r="E1310" s="68"/>
      <c r="F1310" s="68"/>
      <c r="G1310" s="68" t="s">
        <v>20</v>
      </c>
      <c r="H1310" s="68">
        <f t="shared" si="156"/>
        <v>276</v>
      </c>
      <c r="I1310" s="68">
        <v>4</v>
      </c>
      <c r="J1310" s="70"/>
      <c r="K1310" s="70"/>
      <c r="L1310" s="312"/>
      <c r="M1310" s="68"/>
    </row>
    <row r="1311" spans="1:13">
      <c r="A1311" s="68"/>
      <c r="B1311" s="68"/>
      <c r="C1311" s="68"/>
      <c r="D1311" s="68"/>
      <c r="E1311" s="68"/>
      <c r="F1311" s="68"/>
      <c r="G1311" s="68" t="s">
        <v>852</v>
      </c>
      <c r="H1311" s="68">
        <f t="shared" si="156"/>
        <v>280</v>
      </c>
      <c r="I1311" s="68">
        <v>16</v>
      </c>
      <c r="J1311" s="70"/>
      <c r="K1311" s="70"/>
      <c r="L1311" s="312" t="str">
        <f t="shared" ref="L1311:L1314" si="160">IF(RIGHT(G1311,5)="FRAME","扩展帧CAN消息","")</f>
        <v>扩展帧CAN消息</v>
      </c>
      <c r="M1311" s="68"/>
    </row>
    <row r="1312" spans="1:13">
      <c r="A1312" s="68"/>
      <c r="B1312" s="68"/>
      <c r="C1312" s="68"/>
      <c r="D1312" s="68"/>
      <c r="E1312" s="68"/>
      <c r="F1312" s="68"/>
      <c r="G1312" s="68" t="s">
        <v>853</v>
      </c>
      <c r="H1312" s="68">
        <f t="shared" si="156"/>
        <v>296</v>
      </c>
      <c r="I1312" s="68">
        <v>16</v>
      </c>
      <c r="J1312" s="70"/>
      <c r="K1312" s="70"/>
      <c r="L1312" s="312" t="str">
        <f t="shared" si="160"/>
        <v>扩展帧CAN消息</v>
      </c>
      <c r="M1312" s="68"/>
    </row>
    <row r="1313" spans="1:13">
      <c r="A1313" s="68"/>
      <c r="B1313" s="68"/>
      <c r="C1313" s="68"/>
      <c r="D1313" s="68"/>
      <c r="E1313" s="68"/>
      <c r="F1313" s="68"/>
      <c r="G1313" s="68" t="s">
        <v>854</v>
      </c>
      <c r="H1313" s="68">
        <f t="shared" si="156"/>
        <v>312</v>
      </c>
      <c r="I1313" s="68">
        <v>16</v>
      </c>
      <c r="J1313" s="70"/>
      <c r="K1313" s="70"/>
      <c r="L1313" s="312" t="str">
        <f t="shared" si="160"/>
        <v>扩展帧CAN消息</v>
      </c>
      <c r="M1313" s="68"/>
    </row>
    <row r="1314" spans="1:13">
      <c r="A1314" s="68"/>
      <c r="B1314" s="68"/>
      <c r="C1314" s="68"/>
      <c r="D1314" s="68"/>
      <c r="E1314" s="68"/>
      <c r="F1314" s="68"/>
      <c r="G1314" s="68" t="s">
        <v>855</v>
      </c>
      <c r="H1314" s="68">
        <f t="shared" si="156"/>
        <v>328</v>
      </c>
      <c r="I1314" s="68">
        <v>16</v>
      </c>
      <c r="J1314" s="70"/>
      <c r="K1314" s="70"/>
      <c r="L1314" s="312" t="str">
        <f t="shared" si="160"/>
        <v>扩展帧CAN消息</v>
      </c>
      <c r="M1314" s="68"/>
    </row>
    <row r="1315" spans="1:13">
      <c r="A1315" s="68"/>
      <c r="B1315" s="68"/>
      <c r="C1315" s="68"/>
      <c r="D1315" s="68"/>
      <c r="E1315" s="68"/>
      <c r="F1315" s="68"/>
      <c r="G1315" s="68" t="s">
        <v>20</v>
      </c>
      <c r="H1315" s="68">
        <f t="shared" si="156"/>
        <v>344</v>
      </c>
      <c r="I1315" s="68">
        <v>4</v>
      </c>
      <c r="J1315" s="70"/>
      <c r="K1315" s="70"/>
      <c r="L1315" s="312"/>
      <c r="M1315" s="68"/>
    </row>
    <row r="1316" spans="1:13">
      <c r="A1316" s="68"/>
      <c r="B1316" s="68"/>
      <c r="C1316" s="68"/>
      <c r="D1316" s="68"/>
      <c r="E1316" s="68"/>
      <c r="F1316" s="68"/>
      <c r="G1316" s="68" t="s">
        <v>856</v>
      </c>
      <c r="H1316" s="68">
        <f t="shared" si="156"/>
        <v>348</v>
      </c>
      <c r="I1316" s="68">
        <v>16</v>
      </c>
      <c r="J1316" s="70"/>
      <c r="K1316" s="70"/>
      <c r="L1316" s="312" t="str">
        <f t="shared" ref="L1316:L1319" si="161">IF(RIGHT(G1316,5)="FRAME","扩展帧CAN消息","")</f>
        <v>扩展帧CAN消息</v>
      </c>
      <c r="M1316" s="68"/>
    </row>
    <row r="1317" spans="1:13">
      <c r="A1317" s="68"/>
      <c r="B1317" s="68"/>
      <c r="C1317" s="68"/>
      <c r="D1317" s="68"/>
      <c r="E1317" s="68"/>
      <c r="F1317" s="68"/>
      <c r="G1317" s="68" t="s">
        <v>857</v>
      </c>
      <c r="H1317" s="68">
        <f t="shared" si="156"/>
        <v>364</v>
      </c>
      <c r="I1317" s="68">
        <v>16</v>
      </c>
      <c r="J1317" s="70"/>
      <c r="K1317" s="70"/>
      <c r="L1317" s="312" t="str">
        <f t="shared" si="161"/>
        <v>扩展帧CAN消息</v>
      </c>
      <c r="M1317" s="68"/>
    </row>
    <row r="1318" spans="1:13">
      <c r="A1318" s="68"/>
      <c r="B1318" s="68"/>
      <c r="C1318" s="68"/>
      <c r="D1318" s="68"/>
      <c r="E1318" s="68"/>
      <c r="F1318" s="68"/>
      <c r="G1318" s="68" t="s">
        <v>858</v>
      </c>
      <c r="H1318" s="68">
        <f t="shared" si="156"/>
        <v>380</v>
      </c>
      <c r="I1318" s="68">
        <v>16</v>
      </c>
      <c r="J1318" s="70"/>
      <c r="K1318" s="70"/>
      <c r="L1318" s="312" t="str">
        <f t="shared" si="161"/>
        <v>扩展帧CAN消息</v>
      </c>
      <c r="M1318" s="68"/>
    </row>
    <row r="1319" spans="1:13">
      <c r="A1319" s="68"/>
      <c r="B1319" s="68"/>
      <c r="C1319" s="68"/>
      <c r="D1319" s="68"/>
      <c r="E1319" s="68"/>
      <c r="F1319" s="68"/>
      <c r="G1319" s="68" t="s">
        <v>859</v>
      </c>
      <c r="H1319" s="68">
        <f t="shared" si="156"/>
        <v>396</v>
      </c>
      <c r="I1319" s="68">
        <v>16</v>
      </c>
      <c r="J1319" s="70"/>
      <c r="K1319" s="70"/>
      <c r="L1319" s="312" t="str">
        <f t="shared" si="161"/>
        <v>扩展帧CAN消息</v>
      </c>
      <c r="M1319" s="68"/>
    </row>
    <row r="1320" spans="1:13">
      <c r="A1320" s="68"/>
      <c r="B1320" s="68"/>
      <c r="C1320" s="68"/>
      <c r="D1320" s="68"/>
      <c r="E1320" s="68"/>
      <c r="F1320" s="68"/>
      <c r="G1320" s="68" t="s">
        <v>20</v>
      </c>
      <c r="H1320" s="68">
        <f t="shared" si="156"/>
        <v>412</v>
      </c>
      <c r="I1320" s="68">
        <v>4</v>
      </c>
      <c r="J1320" s="70"/>
      <c r="K1320" s="70"/>
      <c r="L1320" s="312"/>
      <c r="M1320" s="68"/>
    </row>
    <row r="1321" spans="1:13">
      <c r="A1321" s="68"/>
      <c r="B1321" s="68"/>
      <c r="C1321" s="68"/>
      <c r="D1321" s="68"/>
      <c r="E1321" s="68"/>
      <c r="F1321" s="68"/>
      <c r="G1321" s="68" t="s">
        <v>860</v>
      </c>
      <c r="H1321" s="68">
        <f t="shared" si="156"/>
        <v>416</v>
      </c>
      <c r="I1321" s="68">
        <v>16</v>
      </c>
      <c r="J1321" s="70"/>
      <c r="K1321" s="70"/>
      <c r="L1321" s="312" t="str">
        <f t="shared" ref="L1321:L1324" si="162">IF(RIGHT(G1321,5)="FRAME","扩展帧CAN消息","")</f>
        <v>扩展帧CAN消息</v>
      </c>
      <c r="M1321" s="68"/>
    </row>
    <row r="1322" spans="1:13">
      <c r="A1322" s="68"/>
      <c r="B1322" s="68"/>
      <c r="C1322" s="68"/>
      <c r="D1322" s="68"/>
      <c r="E1322" s="68"/>
      <c r="F1322" s="68"/>
      <c r="G1322" s="68" t="s">
        <v>861</v>
      </c>
      <c r="H1322" s="68">
        <f t="shared" si="156"/>
        <v>432</v>
      </c>
      <c r="I1322" s="68">
        <v>16</v>
      </c>
      <c r="J1322" s="70"/>
      <c r="K1322" s="70"/>
      <c r="L1322" s="312" t="str">
        <f t="shared" si="162"/>
        <v>扩展帧CAN消息</v>
      </c>
      <c r="M1322" s="68"/>
    </row>
    <row r="1323" spans="1:13">
      <c r="A1323" s="68"/>
      <c r="B1323" s="68"/>
      <c r="C1323" s="68"/>
      <c r="D1323" s="68"/>
      <c r="E1323" s="68"/>
      <c r="F1323" s="68"/>
      <c r="G1323" s="68" t="s">
        <v>862</v>
      </c>
      <c r="H1323" s="68">
        <f t="shared" si="156"/>
        <v>448</v>
      </c>
      <c r="I1323" s="68">
        <v>16</v>
      </c>
      <c r="J1323" s="70"/>
      <c r="K1323" s="70"/>
      <c r="L1323" s="312" t="str">
        <f t="shared" si="162"/>
        <v>扩展帧CAN消息</v>
      </c>
      <c r="M1323" s="68"/>
    </row>
    <row r="1324" spans="1:13">
      <c r="A1324" s="68"/>
      <c r="B1324" s="68"/>
      <c r="C1324" s="68"/>
      <c r="D1324" s="68"/>
      <c r="E1324" s="68"/>
      <c r="F1324" s="68"/>
      <c r="G1324" s="68" t="s">
        <v>863</v>
      </c>
      <c r="H1324" s="68">
        <f t="shared" si="156"/>
        <v>464</v>
      </c>
      <c r="I1324" s="68">
        <v>16</v>
      </c>
      <c r="J1324" s="70"/>
      <c r="K1324" s="70"/>
      <c r="L1324" s="312" t="str">
        <f t="shared" si="162"/>
        <v>扩展帧CAN消息</v>
      </c>
      <c r="M1324" s="68"/>
    </row>
    <row r="1325" spans="1:13">
      <c r="A1325" s="68"/>
      <c r="B1325" s="68"/>
      <c r="C1325" s="68"/>
      <c r="D1325" s="68"/>
      <c r="E1325" s="68"/>
      <c r="F1325" s="68"/>
      <c r="G1325" s="68" t="s">
        <v>20</v>
      </c>
      <c r="H1325" s="68">
        <f t="shared" si="156"/>
        <v>480</v>
      </c>
      <c r="I1325" s="68">
        <v>4</v>
      </c>
      <c r="J1325" s="70"/>
      <c r="K1325" s="70"/>
      <c r="L1325" s="317"/>
      <c r="M1325" s="68"/>
    </row>
    <row r="1326" spans="1:13">
      <c r="A1326" s="68"/>
      <c r="B1326" s="68"/>
      <c r="C1326" s="68"/>
      <c r="D1326" s="68"/>
      <c r="E1326" s="68"/>
      <c r="F1326" s="68"/>
      <c r="G1326" s="68" t="s">
        <v>864</v>
      </c>
      <c r="H1326" s="68">
        <f t="shared" si="156"/>
        <v>484</v>
      </c>
      <c r="I1326" s="68">
        <v>16</v>
      </c>
      <c r="J1326" s="70"/>
      <c r="K1326" s="70"/>
      <c r="L1326" s="312" t="str">
        <f t="shared" ref="L1326:L1329" si="163">IF(RIGHT(G1326,5)="FRAME","扩展帧CAN消息","")</f>
        <v>扩展帧CAN消息</v>
      </c>
      <c r="M1326" s="68"/>
    </row>
    <row r="1327" spans="1:13">
      <c r="A1327" s="68"/>
      <c r="B1327" s="68"/>
      <c r="C1327" s="68"/>
      <c r="D1327" s="68"/>
      <c r="E1327" s="68"/>
      <c r="F1327" s="68"/>
      <c r="G1327" s="68" t="s">
        <v>865</v>
      </c>
      <c r="H1327" s="68">
        <f t="shared" si="156"/>
        <v>500</v>
      </c>
      <c r="I1327" s="68">
        <v>16</v>
      </c>
      <c r="J1327" s="70"/>
      <c r="K1327" s="70"/>
      <c r="L1327" s="312" t="str">
        <f t="shared" si="163"/>
        <v>扩展帧CAN消息</v>
      </c>
      <c r="M1327" s="68"/>
    </row>
    <row r="1328" spans="1:13">
      <c r="A1328" s="68"/>
      <c r="B1328" s="68"/>
      <c r="C1328" s="68"/>
      <c r="D1328" s="68"/>
      <c r="E1328" s="68"/>
      <c r="F1328" s="68"/>
      <c r="G1328" s="68" t="s">
        <v>866</v>
      </c>
      <c r="H1328" s="68">
        <f t="shared" si="156"/>
        <v>516</v>
      </c>
      <c r="I1328" s="68">
        <v>16</v>
      </c>
      <c r="J1328" s="70"/>
      <c r="K1328" s="70"/>
      <c r="L1328" s="312" t="str">
        <f t="shared" si="163"/>
        <v>扩展帧CAN消息</v>
      </c>
      <c r="M1328" s="68"/>
    </row>
    <row r="1329" spans="1:13">
      <c r="A1329" s="68"/>
      <c r="B1329" s="68"/>
      <c r="C1329" s="68"/>
      <c r="D1329" s="68"/>
      <c r="E1329" s="68"/>
      <c r="F1329" s="68"/>
      <c r="G1329" s="68" t="s">
        <v>867</v>
      </c>
      <c r="H1329" s="68">
        <f t="shared" si="156"/>
        <v>532</v>
      </c>
      <c r="I1329" s="68">
        <v>16</v>
      </c>
      <c r="J1329" s="70"/>
      <c r="K1329" s="70"/>
      <c r="L1329" s="312" t="str">
        <f t="shared" si="163"/>
        <v>扩展帧CAN消息</v>
      </c>
      <c r="M1329" s="68"/>
    </row>
    <row r="1330" spans="1:13">
      <c r="A1330" s="68"/>
      <c r="B1330" s="68"/>
      <c r="C1330" s="68"/>
      <c r="D1330" s="68"/>
      <c r="E1330" s="68"/>
      <c r="F1330" s="68"/>
      <c r="G1330" s="68" t="s">
        <v>20</v>
      </c>
      <c r="H1330" s="68">
        <f t="shared" si="156"/>
        <v>548</v>
      </c>
      <c r="I1330" s="68">
        <v>4</v>
      </c>
      <c r="J1330" s="70"/>
      <c r="K1330" s="70"/>
      <c r="L1330" s="312"/>
      <c r="M1330" s="68"/>
    </row>
    <row r="1331" spans="1:13">
      <c r="A1331" s="68"/>
      <c r="B1331" s="68"/>
      <c r="C1331" s="68"/>
      <c r="D1331" s="68"/>
      <c r="E1331" s="68"/>
      <c r="F1331" s="68"/>
      <c r="G1331" s="68" t="s">
        <v>868</v>
      </c>
      <c r="H1331" s="68">
        <f t="shared" si="156"/>
        <v>552</v>
      </c>
      <c r="I1331" s="68">
        <v>16</v>
      </c>
      <c r="J1331" s="70"/>
      <c r="K1331" s="70"/>
      <c r="L1331" s="312" t="str">
        <f t="shared" ref="L1331:L1334" si="164">IF(RIGHT(G1331,5)="FRAME","扩展帧CAN消息","")</f>
        <v>扩展帧CAN消息</v>
      </c>
      <c r="M1331" s="68"/>
    </row>
    <row r="1332" spans="1:13">
      <c r="A1332" s="68"/>
      <c r="B1332" s="68"/>
      <c r="C1332" s="68"/>
      <c r="D1332" s="68"/>
      <c r="E1332" s="68"/>
      <c r="F1332" s="68"/>
      <c r="G1332" s="68" t="s">
        <v>869</v>
      </c>
      <c r="H1332" s="68">
        <f t="shared" si="156"/>
        <v>568</v>
      </c>
      <c r="I1332" s="68">
        <v>16</v>
      </c>
      <c r="J1332" s="70"/>
      <c r="K1332" s="70"/>
      <c r="L1332" s="312" t="str">
        <f t="shared" si="164"/>
        <v>扩展帧CAN消息</v>
      </c>
      <c r="M1332" s="68"/>
    </row>
    <row r="1333" spans="1:13">
      <c r="A1333" s="68"/>
      <c r="B1333" s="68"/>
      <c r="C1333" s="68"/>
      <c r="D1333" s="68"/>
      <c r="E1333" s="68"/>
      <c r="F1333" s="68"/>
      <c r="G1333" s="68" t="s">
        <v>870</v>
      </c>
      <c r="H1333" s="68">
        <f t="shared" si="156"/>
        <v>584</v>
      </c>
      <c r="I1333" s="68">
        <v>16</v>
      </c>
      <c r="J1333" s="70"/>
      <c r="K1333" s="70"/>
      <c r="L1333" s="312" t="str">
        <f t="shared" si="164"/>
        <v>扩展帧CAN消息</v>
      </c>
      <c r="M1333" s="68"/>
    </row>
    <row r="1334" spans="1:13">
      <c r="A1334" s="68"/>
      <c r="B1334" s="68"/>
      <c r="C1334" s="68"/>
      <c r="D1334" s="68"/>
      <c r="E1334" s="68"/>
      <c r="F1334" s="68"/>
      <c r="G1334" s="68" t="s">
        <v>871</v>
      </c>
      <c r="H1334" s="68">
        <f t="shared" si="156"/>
        <v>600</v>
      </c>
      <c r="I1334" s="68">
        <v>16</v>
      </c>
      <c r="J1334" s="70"/>
      <c r="K1334" s="70"/>
      <c r="L1334" s="312" t="str">
        <f t="shared" si="164"/>
        <v>扩展帧CAN消息</v>
      </c>
      <c r="M1334" s="68"/>
    </row>
    <row r="1335" spans="1:13">
      <c r="A1335" s="68"/>
      <c r="B1335" s="68"/>
      <c r="C1335" s="68"/>
      <c r="D1335" s="68"/>
      <c r="E1335" s="68"/>
      <c r="F1335" s="68"/>
      <c r="G1335" s="68" t="s">
        <v>20</v>
      </c>
      <c r="H1335" s="68">
        <f t="shared" si="156"/>
        <v>616</v>
      </c>
      <c r="I1335" s="68">
        <v>4</v>
      </c>
      <c r="J1335" s="70"/>
      <c r="K1335" s="70"/>
      <c r="L1335" s="317"/>
      <c r="M1335" s="68"/>
    </row>
    <row r="1336" spans="1:13">
      <c r="A1336" s="68"/>
      <c r="B1336" s="68"/>
      <c r="C1336" s="68"/>
      <c r="D1336" s="68"/>
      <c r="E1336" s="68"/>
      <c r="F1336" s="68"/>
      <c r="G1336" s="68" t="s">
        <v>872</v>
      </c>
      <c r="H1336" s="68">
        <f t="shared" si="156"/>
        <v>620</v>
      </c>
      <c r="I1336" s="68">
        <v>16</v>
      </c>
      <c r="J1336" s="70"/>
      <c r="K1336" s="70"/>
      <c r="L1336" s="312" t="str">
        <f t="shared" ref="L1336:L1340" si="165">IF(RIGHT(G1336,5)="FRAME","扩展帧CAN消息","")</f>
        <v>扩展帧CAN消息</v>
      </c>
      <c r="M1336" s="68"/>
    </row>
    <row r="1337" spans="1:13">
      <c r="A1337" s="68"/>
      <c r="B1337" s="68"/>
      <c r="C1337" s="68"/>
      <c r="D1337" s="68"/>
      <c r="E1337" s="68"/>
      <c r="F1337" s="68"/>
      <c r="G1337" s="68" t="s">
        <v>873</v>
      </c>
      <c r="H1337" s="68">
        <f t="shared" si="156"/>
        <v>636</v>
      </c>
      <c r="I1337" s="68">
        <v>16</v>
      </c>
      <c r="J1337" s="70"/>
      <c r="K1337" s="70"/>
      <c r="L1337" s="312" t="str">
        <f t="shared" si="165"/>
        <v>扩展帧CAN消息</v>
      </c>
      <c r="M1337" s="68"/>
    </row>
    <row r="1338" spans="1:13">
      <c r="A1338" s="68"/>
      <c r="B1338" s="68"/>
      <c r="C1338" s="68"/>
      <c r="D1338" s="68"/>
      <c r="E1338" s="68"/>
      <c r="F1338" s="68"/>
      <c r="G1338" s="68" t="s">
        <v>874</v>
      </c>
      <c r="H1338" s="68">
        <f t="shared" si="156"/>
        <v>652</v>
      </c>
      <c r="I1338" s="68">
        <v>16</v>
      </c>
      <c r="J1338" s="70"/>
      <c r="K1338" s="70"/>
      <c r="L1338" s="312" t="str">
        <f t="shared" si="165"/>
        <v>扩展帧CAN消息</v>
      </c>
      <c r="M1338" s="68"/>
    </row>
    <row r="1339" spans="1:13">
      <c r="A1339" s="318" t="s">
        <v>875</v>
      </c>
      <c r="B1339" s="318" t="s">
        <v>876</v>
      </c>
      <c r="C1339" s="318" t="s">
        <v>877</v>
      </c>
      <c r="D1339" s="318" t="s">
        <v>118</v>
      </c>
      <c r="E1339" s="318">
        <v>7034</v>
      </c>
      <c r="F1339" s="59" t="s">
        <v>86</v>
      </c>
      <c r="G1339" s="259" t="s">
        <v>134</v>
      </c>
      <c r="H1339" s="48">
        <v>0</v>
      </c>
      <c r="I1339" s="48">
        <v>4</v>
      </c>
      <c r="J1339" s="61" t="s">
        <v>97</v>
      </c>
      <c r="K1339" s="61">
        <v>100</v>
      </c>
      <c r="L1339" s="299" t="str">
        <f t="shared" si="165"/>
        <v/>
      </c>
      <c r="M1339" s="318">
        <v>1402201</v>
      </c>
    </row>
    <row r="1340" spans="1:13">
      <c r="A1340" s="319"/>
      <c r="B1340" s="319"/>
      <c r="C1340" s="319"/>
      <c r="D1340" s="319"/>
      <c r="E1340" s="319"/>
      <c r="F1340" s="59"/>
      <c r="G1340" s="259" t="s">
        <v>120</v>
      </c>
      <c r="H1340" s="48">
        <v>4</v>
      </c>
      <c r="I1340" s="48">
        <v>4</v>
      </c>
      <c r="J1340" s="63"/>
      <c r="K1340" s="63"/>
      <c r="L1340" s="299" t="str">
        <f t="shared" si="165"/>
        <v/>
      </c>
      <c r="M1340" s="319"/>
    </row>
    <row r="1341" spans="1:13">
      <c r="A1341" s="319"/>
      <c r="B1341" s="319"/>
      <c r="C1341" s="319"/>
      <c r="D1341" s="319"/>
      <c r="E1341" s="319"/>
      <c r="F1341" s="59"/>
      <c r="G1341" s="48" t="s">
        <v>878</v>
      </c>
      <c r="H1341" s="48">
        <v>8</v>
      </c>
      <c r="I1341" s="48">
        <v>16</v>
      </c>
      <c r="J1341" s="63"/>
      <c r="K1341" s="63"/>
      <c r="L1341" s="298" t="s">
        <v>879</v>
      </c>
      <c r="M1341" s="319"/>
    </row>
    <row r="1342" spans="1:13">
      <c r="A1342" s="319"/>
      <c r="B1342" s="319"/>
      <c r="C1342" s="319"/>
      <c r="D1342" s="319"/>
      <c r="E1342" s="319"/>
      <c r="F1342" s="59"/>
      <c r="G1342" s="48" t="s">
        <v>880</v>
      </c>
      <c r="H1342" s="48">
        <v>24</v>
      </c>
      <c r="I1342" s="48">
        <v>16</v>
      </c>
      <c r="J1342" s="63"/>
      <c r="K1342" s="63"/>
      <c r="L1342" s="298" t="s">
        <v>879</v>
      </c>
      <c r="M1342" s="319"/>
    </row>
    <row r="1343" spans="1:13">
      <c r="A1343" s="319"/>
      <c r="B1343" s="319"/>
      <c r="C1343" s="319"/>
      <c r="D1343" s="319"/>
      <c r="E1343" s="319"/>
      <c r="F1343" s="59"/>
      <c r="G1343" s="48" t="s">
        <v>881</v>
      </c>
      <c r="H1343" s="48">
        <v>40</v>
      </c>
      <c r="I1343" s="48">
        <v>16</v>
      </c>
      <c r="J1343" s="63"/>
      <c r="K1343" s="63"/>
      <c r="L1343" s="298" t="s">
        <v>879</v>
      </c>
      <c r="M1343" s="319"/>
    </row>
    <row r="1344" spans="1:13">
      <c r="A1344" s="319"/>
      <c r="B1344" s="319"/>
      <c r="C1344" s="319"/>
      <c r="D1344" s="319"/>
      <c r="E1344" s="319"/>
      <c r="F1344" s="59"/>
      <c r="G1344" s="48" t="s">
        <v>882</v>
      </c>
      <c r="H1344" s="48">
        <v>56</v>
      </c>
      <c r="I1344" s="48">
        <v>16</v>
      </c>
      <c r="J1344" s="63"/>
      <c r="K1344" s="63"/>
      <c r="L1344" s="298" t="s">
        <v>879</v>
      </c>
      <c r="M1344" s="319"/>
    </row>
    <row r="1345" spans="1:13">
      <c r="A1345" s="290"/>
      <c r="B1345" s="290" t="s">
        <v>883</v>
      </c>
      <c r="C1345" s="290" t="s">
        <v>877</v>
      </c>
      <c r="D1345" s="290" t="s">
        <v>118</v>
      </c>
      <c r="E1345" s="290">
        <v>7043</v>
      </c>
      <c r="F1345" s="294" t="s">
        <v>86</v>
      </c>
      <c r="G1345" s="320" t="s">
        <v>134</v>
      </c>
      <c r="H1345" s="291">
        <v>0</v>
      </c>
      <c r="I1345" s="291">
        <v>4</v>
      </c>
      <c r="J1345" s="321" t="s">
        <v>97</v>
      </c>
      <c r="K1345" s="320">
        <v>500</v>
      </c>
      <c r="L1345" s="322"/>
      <c r="M1345" s="286">
        <v>1402201</v>
      </c>
    </row>
    <row r="1346" spans="1:13">
      <c r="A1346" s="290"/>
      <c r="B1346" s="290"/>
      <c r="C1346" s="290"/>
      <c r="D1346" s="290"/>
      <c r="E1346" s="290"/>
      <c r="F1346" s="294"/>
      <c r="G1346" s="320" t="s">
        <v>120</v>
      </c>
      <c r="H1346" s="291">
        <f t="shared" ref="H1346:H1351" si="166">H1345+I1345</f>
        <v>4</v>
      </c>
      <c r="I1346" s="291">
        <v>4</v>
      </c>
      <c r="J1346" s="323"/>
      <c r="K1346" s="320"/>
      <c r="L1346" s="322"/>
      <c r="M1346" s="294"/>
    </row>
    <row r="1347" spans="1:13">
      <c r="A1347" s="290"/>
      <c r="B1347" s="290"/>
      <c r="C1347" s="290"/>
      <c r="D1347" s="290"/>
      <c r="E1347" s="290"/>
      <c r="F1347" s="294"/>
      <c r="G1347" s="291" t="s">
        <v>884</v>
      </c>
      <c r="H1347" s="291">
        <f t="shared" si="166"/>
        <v>8</v>
      </c>
      <c r="I1347" s="291">
        <v>16</v>
      </c>
      <c r="J1347" s="323"/>
      <c r="K1347" s="320"/>
      <c r="L1347" s="324" t="s">
        <v>879</v>
      </c>
      <c r="M1347" s="294"/>
    </row>
    <row r="1348" spans="1:13">
      <c r="A1348" s="290"/>
      <c r="B1348" s="290"/>
      <c r="C1348" s="290"/>
      <c r="D1348" s="290"/>
      <c r="E1348" s="290"/>
      <c r="F1348" s="294"/>
      <c r="G1348" s="291" t="s">
        <v>885</v>
      </c>
      <c r="H1348" s="291">
        <f t="shared" si="166"/>
        <v>24</v>
      </c>
      <c r="I1348" s="291">
        <v>16</v>
      </c>
      <c r="J1348" s="323"/>
      <c r="K1348" s="320"/>
      <c r="L1348" s="324" t="s">
        <v>879</v>
      </c>
      <c r="M1348" s="294"/>
    </row>
    <row r="1349" spans="1:13">
      <c r="A1349" s="290"/>
      <c r="B1349" s="290"/>
      <c r="C1349" s="290"/>
      <c r="D1349" s="290"/>
      <c r="E1349" s="290"/>
      <c r="F1349" s="294"/>
      <c r="G1349" s="291" t="s">
        <v>886</v>
      </c>
      <c r="H1349" s="291">
        <f t="shared" si="166"/>
        <v>40</v>
      </c>
      <c r="I1349" s="291">
        <v>16</v>
      </c>
      <c r="J1349" s="323"/>
      <c r="K1349" s="320"/>
      <c r="L1349" s="324"/>
      <c r="M1349" s="294"/>
    </row>
    <row r="1350" spans="1:13">
      <c r="A1350" s="290"/>
      <c r="B1350" s="290"/>
      <c r="C1350" s="290"/>
      <c r="D1350" s="290"/>
      <c r="E1350" s="290"/>
      <c r="F1350" s="294"/>
      <c r="G1350" s="291" t="s">
        <v>887</v>
      </c>
      <c r="H1350" s="291">
        <f t="shared" si="166"/>
        <v>56</v>
      </c>
      <c r="I1350" s="291">
        <v>16</v>
      </c>
      <c r="J1350" s="323"/>
      <c r="K1350" s="320"/>
      <c r="L1350" s="324"/>
      <c r="M1350" s="294"/>
    </row>
    <row r="1351" spans="1:13">
      <c r="A1351" s="290"/>
      <c r="B1351" s="290"/>
      <c r="C1351" s="290"/>
      <c r="D1351" s="290"/>
      <c r="E1351" s="290"/>
      <c r="F1351" s="294"/>
      <c r="G1351" s="320" t="s">
        <v>120</v>
      </c>
      <c r="H1351" s="291">
        <f t="shared" si="166"/>
        <v>72</v>
      </c>
      <c r="I1351" s="291">
        <v>4</v>
      </c>
      <c r="J1351" s="323"/>
      <c r="K1351" s="320"/>
      <c r="L1351" s="324"/>
      <c r="M1351" s="294"/>
    </row>
    <row r="1352" spans="1:13">
      <c r="A1352" s="290"/>
      <c r="B1352" s="290"/>
      <c r="C1352" s="290"/>
      <c r="D1352" s="290"/>
      <c r="E1352" s="290"/>
      <c r="F1352" s="294"/>
      <c r="G1352" s="291" t="s">
        <v>888</v>
      </c>
      <c r="H1352" s="291">
        <f t="shared" ref="H1352:H1367" si="167">H1351+I1351</f>
        <v>76</v>
      </c>
      <c r="I1352" s="291">
        <v>16</v>
      </c>
      <c r="J1352" s="323"/>
      <c r="K1352" s="320"/>
      <c r="L1352" s="324" t="s">
        <v>879</v>
      </c>
      <c r="M1352" s="294"/>
    </row>
    <row r="1353" spans="1:13">
      <c r="A1353" s="290"/>
      <c r="B1353" s="290"/>
      <c r="C1353" s="290"/>
      <c r="D1353" s="290"/>
      <c r="E1353" s="290"/>
      <c r="F1353" s="294"/>
      <c r="G1353" s="291" t="s">
        <v>889</v>
      </c>
      <c r="H1353" s="291">
        <f t="shared" si="167"/>
        <v>92</v>
      </c>
      <c r="I1353" s="291">
        <v>16</v>
      </c>
      <c r="J1353" s="323"/>
      <c r="K1353" s="320"/>
      <c r="L1353" s="324" t="s">
        <v>879</v>
      </c>
      <c r="M1353" s="294"/>
    </row>
    <row r="1354" spans="1:13">
      <c r="A1354" s="290"/>
      <c r="B1354" s="290"/>
      <c r="C1354" s="290"/>
      <c r="D1354" s="290"/>
      <c r="E1354" s="290"/>
      <c r="F1354" s="294"/>
      <c r="G1354" s="291" t="s">
        <v>890</v>
      </c>
      <c r="H1354" s="291">
        <f t="shared" si="167"/>
        <v>108</v>
      </c>
      <c r="I1354" s="291">
        <v>16</v>
      </c>
      <c r="J1354" s="323"/>
      <c r="K1354" s="320"/>
      <c r="L1354" s="324"/>
      <c r="M1354" s="294"/>
    </row>
    <row r="1355" spans="1:13">
      <c r="A1355" s="290"/>
      <c r="B1355" s="290"/>
      <c r="C1355" s="290"/>
      <c r="D1355" s="290"/>
      <c r="E1355" s="290"/>
      <c r="F1355" s="294"/>
      <c r="G1355" s="291" t="s">
        <v>891</v>
      </c>
      <c r="H1355" s="291">
        <f t="shared" si="167"/>
        <v>124</v>
      </c>
      <c r="I1355" s="291">
        <v>16</v>
      </c>
      <c r="J1355" s="323"/>
      <c r="K1355" s="320"/>
      <c r="L1355" s="324"/>
      <c r="M1355" s="294"/>
    </row>
    <row r="1356" spans="1:13">
      <c r="A1356" s="290"/>
      <c r="B1356" s="290"/>
      <c r="C1356" s="290"/>
      <c r="D1356" s="290"/>
      <c r="E1356" s="290"/>
      <c r="F1356" s="294"/>
      <c r="G1356" s="320" t="s">
        <v>120</v>
      </c>
      <c r="H1356" s="291">
        <f t="shared" si="167"/>
        <v>140</v>
      </c>
      <c r="I1356" s="291">
        <v>4</v>
      </c>
      <c r="J1356" s="323"/>
      <c r="K1356" s="320"/>
      <c r="L1356" s="322"/>
      <c r="M1356" s="294"/>
    </row>
    <row r="1357" spans="1:13">
      <c r="A1357" s="290"/>
      <c r="B1357" s="290"/>
      <c r="C1357" s="290"/>
      <c r="D1357" s="290"/>
      <c r="E1357" s="290"/>
      <c r="F1357" s="294"/>
      <c r="G1357" s="291" t="s">
        <v>892</v>
      </c>
      <c r="H1357" s="291">
        <f t="shared" si="167"/>
        <v>144</v>
      </c>
      <c r="I1357" s="291">
        <v>16</v>
      </c>
      <c r="J1357" s="323"/>
      <c r="K1357" s="320"/>
      <c r="L1357" s="324" t="s">
        <v>879</v>
      </c>
      <c r="M1357" s="294"/>
    </row>
    <row r="1358" spans="1:13">
      <c r="A1358" s="290"/>
      <c r="B1358" s="290"/>
      <c r="C1358" s="290"/>
      <c r="D1358" s="290"/>
      <c r="E1358" s="290"/>
      <c r="F1358" s="294"/>
      <c r="G1358" s="291" t="s">
        <v>893</v>
      </c>
      <c r="H1358" s="291">
        <f t="shared" si="167"/>
        <v>160</v>
      </c>
      <c r="I1358" s="291">
        <v>16</v>
      </c>
      <c r="J1358" s="323"/>
      <c r="K1358" s="320"/>
      <c r="L1358" s="324" t="s">
        <v>879</v>
      </c>
      <c r="M1358" s="294"/>
    </row>
    <row r="1359" spans="1:13">
      <c r="A1359" s="290"/>
      <c r="B1359" s="290"/>
      <c r="C1359" s="290"/>
      <c r="D1359" s="290"/>
      <c r="E1359" s="290"/>
      <c r="F1359" s="294"/>
      <c r="G1359" s="291" t="s">
        <v>894</v>
      </c>
      <c r="H1359" s="291">
        <f t="shared" si="167"/>
        <v>176</v>
      </c>
      <c r="I1359" s="291">
        <v>16</v>
      </c>
      <c r="J1359" s="323"/>
      <c r="K1359" s="320"/>
      <c r="L1359" s="324"/>
      <c r="M1359" s="294"/>
    </row>
    <row r="1360" spans="1:13">
      <c r="A1360" s="290"/>
      <c r="B1360" s="290"/>
      <c r="C1360" s="290"/>
      <c r="D1360" s="290"/>
      <c r="E1360" s="290"/>
      <c r="F1360" s="294"/>
      <c r="G1360" s="291" t="s">
        <v>895</v>
      </c>
      <c r="H1360" s="291">
        <f t="shared" si="167"/>
        <v>192</v>
      </c>
      <c r="I1360" s="291">
        <v>16</v>
      </c>
      <c r="J1360" s="323"/>
      <c r="K1360" s="320"/>
      <c r="L1360" s="324"/>
      <c r="M1360" s="294"/>
    </row>
    <row r="1361" spans="1:13">
      <c r="A1361" s="290"/>
      <c r="B1361" s="290"/>
      <c r="C1361" s="290"/>
      <c r="D1361" s="290"/>
      <c r="E1361" s="290"/>
      <c r="F1361" s="294"/>
      <c r="G1361" s="320" t="s">
        <v>120</v>
      </c>
      <c r="H1361" s="291">
        <f t="shared" si="167"/>
        <v>208</v>
      </c>
      <c r="I1361" s="291">
        <v>4</v>
      </c>
      <c r="J1361" s="323"/>
      <c r="K1361" s="320"/>
      <c r="L1361" s="324"/>
      <c r="M1361" s="294"/>
    </row>
    <row r="1362" spans="1:13">
      <c r="A1362" s="290"/>
      <c r="B1362" s="290"/>
      <c r="C1362" s="290"/>
      <c r="D1362" s="290"/>
      <c r="E1362" s="290"/>
      <c r="F1362" s="294"/>
      <c r="G1362" s="291" t="s">
        <v>896</v>
      </c>
      <c r="H1362" s="291">
        <f t="shared" si="167"/>
        <v>212</v>
      </c>
      <c r="I1362" s="291">
        <v>16</v>
      </c>
      <c r="J1362" s="323"/>
      <c r="K1362" s="320"/>
      <c r="L1362" s="324" t="s">
        <v>879</v>
      </c>
      <c r="M1362" s="294"/>
    </row>
    <row r="1363" spans="1:13">
      <c r="A1363" s="290"/>
      <c r="B1363" s="290"/>
      <c r="C1363" s="290"/>
      <c r="D1363" s="290"/>
      <c r="E1363" s="290"/>
      <c r="F1363" s="294"/>
      <c r="G1363" s="291" t="s">
        <v>897</v>
      </c>
      <c r="H1363" s="291">
        <f t="shared" si="167"/>
        <v>228</v>
      </c>
      <c r="I1363" s="291">
        <v>16</v>
      </c>
      <c r="J1363" s="323"/>
      <c r="K1363" s="320"/>
      <c r="L1363" s="324"/>
      <c r="M1363" s="294"/>
    </row>
    <row r="1364" spans="1:13">
      <c r="A1364" s="290"/>
      <c r="B1364" s="290"/>
      <c r="C1364" s="290"/>
      <c r="D1364" s="290"/>
      <c r="E1364" s="290"/>
      <c r="F1364" s="294"/>
      <c r="G1364" s="291" t="s">
        <v>898</v>
      </c>
      <c r="H1364" s="291">
        <f t="shared" si="167"/>
        <v>244</v>
      </c>
      <c r="I1364" s="291">
        <v>16</v>
      </c>
      <c r="J1364" s="323"/>
      <c r="K1364" s="320"/>
      <c r="L1364" s="324"/>
      <c r="M1364" s="294"/>
    </row>
    <row r="1365" spans="1:13">
      <c r="A1365" s="290"/>
      <c r="B1365" s="290"/>
      <c r="C1365" s="290"/>
      <c r="D1365" s="290"/>
      <c r="E1365" s="290"/>
      <c r="F1365" s="294"/>
      <c r="G1365" s="291" t="s">
        <v>899</v>
      </c>
      <c r="H1365" s="291">
        <f t="shared" si="167"/>
        <v>260</v>
      </c>
      <c r="I1365" s="291">
        <v>16</v>
      </c>
      <c r="J1365" s="323"/>
      <c r="K1365" s="320"/>
      <c r="L1365" s="324"/>
      <c r="M1365" s="294"/>
    </row>
    <row r="1366" spans="1:13">
      <c r="A1366" s="290"/>
      <c r="B1366" s="290"/>
      <c r="C1366" s="290"/>
      <c r="D1366" s="290"/>
      <c r="E1366" s="290"/>
      <c r="F1366" s="294"/>
      <c r="G1366" s="320" t="s">
        <v>120</v>
      </c>
      <c r="H1366" s="291">
        <f t="shared" si="167"/>
        <v>276</v>
      </c>
      <c r="I1366" s="291">
        <v>4</v>
      </c>
      <c r="J1366" s="323"/>
      <c r="K1366" s="320"/>
      <c r="L1366" s="324"/>
      <c r="M1366" s="294"/>
    </row>
    <row r="1367" spans="1:13">
      <c r="A1367" s="290"/>
      <c r="B1367" s="290"/>
      <c r="C1367" s="290"/>
      <c r="D1367" s="290"/>
      <c r="E1367" s="290"/>
      <c r="F1367" s="325"/>
      <c r="G1367" s="291" t="s">
        <v>900</v>
      </c>
      <c r="H1367" s="291">
        <f t="shared" si="167"/>
        <v>280</v>
      </c>
      <c r="I1367" s="291">
        <v>16</v>
      </c>
      <c r="J1367" s="323"/>
      <c r="K1367" s="320"/>
      <c r="L1367" s="324" t="s">
        <v>879</v>
      </c>
      <c r="M1367" s="325"/>
    </row>
    <row r="1368" spans="1:13">
      <c r="A1368" s="320" t="s">
        <v>901</v>
      </c>
      <c r="B1368" s="320" t="s">
        <v>902</v>
      </c>
      <c r="C1368" s="320" t="s">
        <v>877</v>
      </c>
      <c r="D1368" s="320" t="s">
        <v>118</v>
      </c>
      <c r="E1368" s="320">
        <v>7035</v>
      </c>
      <c r="F1368" s="320" t="s">
        <v>86</v>
      </c>
      <c r="G1368" s="326" t="s">
        <v>87</v>
      </c>
      <c r="H1368" s="291">
        <v>0</v>
      </c>
      <c r="I1368" s="291">
        <v>4</v>
      </c>
      <c r="J1368" s="321" t="s">
        <v>97</v>
      </c>
      <c r="K1368" s="321">
        <v>500</v>
      </c>
      <c r="L1368" s="322" t="str">
        <f t="shared" ref="L1368:L1380" si="168">IF(RIGHT(G1368,5)="FRAME","扩展帧CAN消息","")</f>
        <v/>
      </c>
      <c r="M1368" s="321">
        <v>1402201</v>
      </c>
    </row>
    <row r="1369" spans="1:13">
      <c r="A1369" s="320"/>
      <c r="B1369" s="320"/>
      <c r="C1369" s="320"/>
      <c r="D1369" s="320"/>
      <c r="E1369" s="320"/>
      <c r="F1369" s="320"/>
      <c r="G1369" s="320" t="s">
        <v>120</v>
      </c>
      <c r="H1369" s="291">
        <f>H1368+I1368</f>
        <v>4</v>
      </c>
      <c r="I1369" s="291">
        <v>4</v>
      </c>
      <c r="J1369" s="323"/>
      <c r="K1369" s="323"/>
      <c r="L1369" s="322" t="str">
        <f t="shared" si="168"/>
        <v/>
      </c>
      <c r="M1369" s="323"/>
    </row>
    <row r="1370" spans="1:13">
      <c r="A1370" s="320"/>
      <c r="B1370" s="320"/>
      <c r="C1370" s="320"/>
      <c r="D1370" s="320"/>
      <c r="E1370" s="320"/>
      <c r="F1370" s="320"/>
      <c r="G1370" s="291" t="s">
        <v>903</v>
      </c>
      <c r="H1370" s="291">
        <f t="shared" ref="H1370:H1413" si="169">H1369+I1369</f>
        <v>8</v>
      </c>
      <c r="I1370" s="291">
        <v>16</v>
      </c>
      <c r="J1370" s="323"/>
      <c r="K1370" s="323"/>
      <c r="L1370" s="324" t="str">
        <f t="shared" si="168"/>
        <v>扩展帧CAN消息</v>
      </c>
      <c r="M1370" s="323"/>
    </row>
    <row r="1371" spans="1:13">
      <c r="A1371" s="320"/>
      <c r="B1371" s="320"/>
      <c r="C1371" s="320"/>
      <c r="D1371" s="320"/>
      <c r="E1371" s="320"/>
      <c r="F1371" s="320"/>
      <c r="G1371" s="291" t="s">
        <v>904</v>
      </c>
      <c r="H1371" s="291">
        <f t="shared" si="169"/>
        <v>24</v>
      </c>
      <c r="I1371" s="291">
        <v>16</v>
      </c>
      <c r="J1371" s="323"/>
      <c r="K1371" s="323"/>
      <c r="L1371" s="324" t="str">
        <f t="shared" si="168"/>
        <v>扩展帧CAN消息</v>
      </c>
      <c r="M1371" s="323"/>
    </row>
    <row r="1372" spans="1:13">
      <c r="A1372" s="320"/>
      <c r="B1372" s="320"/>
      <c r="C1372" s="320"/>
      <c r="D1372" s="320"/>
      <c r="E1372" s="320"/>
      <c r="F1372" s="320"/>
      <c r="G1372" s="291" t="s">
        <v>905</v>
      </c>
      <c r="H1372" s="291">
        <f t="shared" si="169"/>
        <v>40</v>
      </c>
      <c r="I1372" s="291">
        <v>16</v>
      </c>
      <c r="J1372" s="323"/>
      <c r="K1372" s="323"/>
      <c r="L1372" s="324" t="str">
        <f t="shared" si="168"/>
        <v>扩展帧CAN消息</v>
      </c>
      <c r="M1372" s="323"/>
    </row>
    <row r="1373" spans="1:13">
      <c r="A1373" s="320"/>
      <c r="B1373" s="320"/>
      <c r="C1373" s="320"/>
      <c r="D1373" s="320"/>
      <c r="E1373" s="320"/>
      <c r="F1373" s="320"/>
      <c r="G1373" s="291" t="s">
        <v>906</v>
      </c>
      <c r="H1373" s="291">
        <f t="shared" si="169"/>
        <v>56</v>
      </c>
      <c r="I1373" s="291">
        <v>16</v>
      </c>
      <c r="J1373" s="323"/>
      <c r="K1373" s="323"/>
      <c r="L1373" s="324" t="str">
        <f t="shared" si="168"/>
        <v>扩展帧CAN消息</v>
      </c>
      <c r="M1373" s="323"/>
    </row>
    <row r="1374" spans="1:13">
      <c r="A1374" s="320"/>
      <c r="B1374" s="320"/>
      <c r="C1374" s="320"/>
      <c r="D1374" s="320"/>
      <c r="E1374" s="320"/>
      <c r="F1374" s="320"/>
      <c r="G1374" s="320" t="s">
        <v>120</v>
      </c>
      <c r="H1374" s="291">
        <f t="shared" si="169"/>
        <v>72</v>
      </c>
      <c r="I1374" s="291">
        <v>4</v>
      </c>
      <c r="J1374" s="323"/>
      <c r="K1374" s="323"/>
      <c r="L1374" s="322" t="str">
        <f t="shared" si="168"/>
        <v/>
      </c>
      <c r="M1374" s="323"/>
    </row>
    <row r="1375" spans="1:13">
      <c r="A1375" s="320"/>
      <c r="B1375" s="320"/>
      <c r="C1375" s="320"/>
      <c r="D1375" s="320"/>
      <c r="E1375" s="320"/>
      <c r="F1375" s="320"/>
      <c r="G1375" s="291" t="s">
        <v>907</v>
      </c>
      <c r="H1375" s="291">
        <f t="shared" si="169"/>
        <v>76</v>
      </c>
      <c r="I1375" s="291">
        <v>16</v>
      </c>
      <c r="J1375" s="323"/>
      <c r="K1375" s="323"/>
      <c r="L1375" s="324" t="str">
        <f t="shared" si="168"/>
        <v>扩展帧CAN消息</v>
      </c>
      <c r="M1375" s="323"/>
    </row>
    <row r="1376" spans="1:13">
      <c r="A1376" s="320"/>
      <c r="B1376" s="320"/>
      <c r="C1376" s="320"/>
      <c r="D1376" s="320"/>
      <c r="E1376" s="320"/>
      <c r="F1376" s="320"/>
      <c r="G1376" s="291" t="s">
        <v>908</v>
      </c>
      <c r="H1376" s="291">
        <f t="shared" si="169"/>
        <v>92</v>
      </c>
      <c r="I1376" s="291">
        <v>16</v>
      </c>
      <c r="J1376" s="323"/>
      <c r="K1376" s="323"/>
      <c r="L1376" s="324" t="str">
        <f t="shared" si="168"/>
        <v>扩展帧CAN消息</v>
      </c>
      <c r="M1376" s="323"/>
    </row>
    <row r="1377" spans="1:13">
      <c r="A1377" s="320"/>
      <c r="B1377" s="320"/>
      <c r="C1377" s="320"/>
      <c r="D1377" s="320"/>
      <c r="E1377" s="320"/>
      <c r="F1377" s="320"/>
      <c r="G1377" s="291" t="s">
        <v>909</v>
      </c>
      <c r="H1377" s="291">
        <f t="shared" si="169"/>
        <v>108</v>
      </c>
      <c r="I1377" s="291">
        <v>16</v>
      </c>
      <c r="J1377" s="323"/>
      <c r="K1377" s="323"/>
      <c r="L1377" s="324" t="str">
        <f t="shared" si="168"/>
        <v>扩展帧CAN消息</v>
      </c>
      <c r="M1377" s="323"/>
    </row>
    <row r="1378" spans="1:13">
      <c r="A1378" s="320"/>
      <c r="B1378" s="320"/>
      <c r="C1378" s="320"/>
      <c r="D1378" s="320"/>
      <c r="E1378" s="320"/>
      <c r="F1378" s="320"/>
      <c r="G1378" s="291" t="s">
        <v>910</v>
      </c>
      <c r="H1378" s="291">
        <f t="shared" si="169"/>
        <v>124</v>
      </c>
      <c r="I1378" s="291">
        <v>16</v>
      </c>
      <c r="J1378" s="323"/>
      <c r="K1378" s="323"/>
      <c r="L1378" s="324" t="str">
        <f t="shared" si="168"/>
        <v>扩展帧CAN消息</v>
      </c>
      <c r="M1378" s="323"/>
    </row>
    <row r="1379" spans="1:13">
      <c r="A1379" s="320"/>
      <c r="B1379" s="320"/>
      <c r="C1379" s="320"/>
      <c r="D1379" s="320"/>
      <c r="E1379" s="320"/>
      <c r="F1379" s="320"/>
      <c r="G1379" s="320" t="s">
        <v>120</v>
      </c>
      <c r="H1379" s="291">
        <f t="shared" si="169"/>
        <v>140</v>
      </c>
      <c r="I1379" s="291">
        <v>4</v>
      </c>
      <c r="J1379" s="323"/>
      <c r="K1379" s="323"/>
      <c r="L1379" s="322" t="str">
        <f t="shared" si="168"/>
        <v/>
      </c>
      <c r="M1379" s="323"/>
    </row>
    <row r="1380" spans="1:13">
      <c r="A1380" s="320"/>
      <c r="B1380" s="320"/>
      <c r="C1380" s="320"/>
      <c r="D1380" s="320"/>
      <c r="E1380" s="320"/>
      <c r="F1380" s="320"/>
      <c r="G1380" s="291" t="s">
        <v>911</v>
      </c>
      <c r="H1380" s="291">
        <f t="shared" si="169"/>
        <v>144</v>
      </c>
      <c r="I1380" s="291">
        <v>16</v>
      </c>
      <c r="J1380" s="323"/>
      <c r="K1380" s="323"/>
      <c r="L1380" s="324" t="str">
        <f t="shared" si="168"/>
        <v>扩展帧CAN消息</v>
      </c>
      <c r="M1380" s="323"/>
    </row>
    <row r="1381" spans="1:13">
      <c r="A1381" s="320"/>
      <c r="B1381" s="320"/>
      <c r="C1381" s="320"/>
      <c r="D1381" s="320"/>
      <c r="E1381" s="320"/>
      <c r="F1381" s="320"/>
      <c r="G1381" s="291" t="s">
        <v>912</v>
      </c>
      <c r="H1381" s="291">
        <f t="shared" si="169"/>
        <v>160</v>
      </c>
      <c r="I1381" s="291">
        <v>16</v>
      </c>
      <c r="J1381" s="323"/>
      <c r="K1381" s="323"/>
      <c r="L1381" s="324" t="str">
        <f t="shared" ref="L1381:L1419" si="170">IF(RIGHT(G1381,5)="FRAME","扩展帧CAN消息","")</f>
        <v>扩展帧CAN消息</v>
      </c>
      <c r="M1381" s="323"/>
    </row>
    <row r="1382" spans="1:13">
      <c r="A1382" s="320"/>
      <c r="B1382" s="320"/>
      <c r="C1382" s="320"/>
      <c r="D1382" s="320"/>
      <c r="E1382" s="320"/>
      <c r="F1382" s="320"/>
      <c r="G1382" s="291" t="s">
        <v>913</v>
      </c>
      <c r="H1382" s="291">
        <f t="shared" si="169"/>
        <v>176</v>
      </c>
      <c r="I1382" s="291">
        <v>16</v>
      </c>
      <c r="J1382" s="323"/>
      <c r="K1382" s="323"/>
      <c r="L1382" s="324" t="str">
        <f t="shared" si="170"/>
        <v>扩展帧CAN消息</v>
      </c>
      <c r="M1382" s="323"/>
    </row>
    <row r="1383" spans="1:13">
      <c r="A1383" s="320"/>
      <c r="B1383" s="320"/>
      <c r="C1383" s="320"/>
      <c r="D1383" s="320"/>
      <c r="E1383" s="320"/>
      <c r="F1383" s="320"/>
      <c r="G1383" s="291" t="s">
        <v>914</v>
      </c>
      <c r="H1383" s="291">
        <f t="shared" si="169"/>
        <v>192</v>
      </c>
      <c r="I1383" s="291">
        <v>16</v>
      </c>
      <c r="J1383" s="323"/>
      <c r="K1383" s="323"/>
      <c r="L1383" s="324" t="str">
        <f t="shared" si="170"/>
        <v>扩展帧CAN消息</v>
      </c>
      <c r="M1383" s="323"/>
    </row>
    <row r="1384" spans="1:13">
      <c r="A1384" s="320"/>
      <c r="B1384" s="320"/>
      <c r="C1384" s="320"/>
      <c r="D1384" s="320"/>
      <c r="E1384" s="320"/>
      <c r="F1384" s="320"/>
      <c r="G1384" s="320" t="s">
        <v>120</v>
      </c>
      <c r="H1384" s="291">
        <f t="shared" si="169"/>
        <v>208</v>
      </c>
      <c r="I1384" s="291">
        <v>4</v>
      </c>
      <c r="J1384" s="323"/>
      <c r="K1384" s="323"/>
      <c r="L1384" s="324" t="str">
        <f t="shared" si="170"/>
        <v/>
      </c>
      <c r="M1384" s="323"/>
    </row>
    <row r="1385" spans="1:13">
      <c r="A1385" s="320"/>
      <c r="B1385" s="320"/>
      <c r="C1385" s="320"/>
      <c r="D1385" s="320"/>
      <c r="E1385" s="320"/>
      <c r="F1385" s="320"/>
      <c r="G1385" s="291" t="s">
        <v>915</v>
      </c>
      <c r="H1385" s="291">
        <f t="shared" si="169"/>
        <v>212</v>
      </c>
      <c r="I1385" s="291">
        <v>16</v>
      </c>
      <c r="J1385" s="323"/>
      <c r="K1385" s="323"/>
      <c r="L1385" s="324" t="str">
        <f t="shared" si="170"/>
        <v>扩展帧CAN消息</v>
      </c>
      <c r="M1385" s="323"/>
    </row>
    <row r="1386" spans="1:13">
      <c r="A1386" s="320"/>
      <c r="B1386" s="320"/>
      <c r="C1386" s="320"/>
      <c r="D1386" s="320"/>
      <c r="E1386" s="320"/>
      <c r="F1386" s="320"/>
      <c r="G1386" s="291" t="s">
        <v>916</v>
      </c>
      <c r="H1386" s="291">
        <f t="shared" si="169"/>
        <v>228</v>
      </c>
      <c r="I1386" s="291">
        <v>16</v>
      </c>
      <c r="J1386" s="323"/>
      <c r="K1386" s="323"/>
      <c r="L1386" s="324" t="str">
        <f t="shared" si="170"/>
        <v>扩展帧CAN消息</v>
      </c>
      <c r="M1386" s="323"/>
    </row>
    <row r="1387" spans="1:13">
      <c r="A1387" s="320"/>
      <c r="B1387" s="320"/>
      <c r="C1387" s="320"/>
      <c r="D1387" s="320"/>
      <c r="E1387" s="320"/>
      <c r="F1387" s="320"/>
      <c r="G1387" s="291" t="s">
        <v>917</v>
      </c>
      <c r="H1387" s="291">
        <f t="shared" si="169"/>
        <v>244</v>
      </c>
      <c r="I1387" s="291">
        <v>16</v>
      </c>
      <c r="J1387" s="323"/>
      <c r="K1387" s="323"/>
      <c r="L1387" s="324" t="str">
        <f t="shared" si="170"/>
        <v>扩展帧CAN消息</v>
      </c>
      <c r="M1387" s="323"/>
    </row>
    <row r="1388" spans="1:13">
      <c r="A1388" s="320"/>
      <c r="B1388" s="320"/>
      <c r="C1388" s="320"/>
      <c r="D1388" s="320"/>
      <c r="E1388" s="320"/>
      <c r="F1388" s="320"/>
      <c r="G1388" s="291" t="s">
        <v>918</v>
      </c>
      <c r="H1388" s="291">
        <f t="shared" si="169"/>
        <v>260</v>
      </c>
      <c r="I1388" s="291">
        <v>16</v>
      </c>
      <c r="J1388" s="323"/>
      <c r="K1388" s="323"/>
      <c r="L1388" s="324" t="str">
        <f t="shared" si="170"/>
        <v>扩展帧CAN消息</v>
      </c>
      <c r="M1388" s="323"/>
    </row>
    <row r="1389" spans="1:13">
      <c r="A1389" s="320"/>
      <c r="B1389" s="320"/>
      <c r="C1389" s="320"/>
      <c r="D1389" s="320"/>
      <c r="E1389" s="320"/>
      <c r="F1389" s="320"/>
      <c r="G1389" s="320" t="s">
        <v>120</v>
      </c>
      <c r="H1389" s="291">
        <f t="shared" si="169"/>
        <v>276</v>
      </c>
      <c r="I1389" s="291">
        <v>4</v>
      </c>
      <c r="J1389" s="323"/>
      <c r="K1389" s="323"/>
      <c r="L1389" s="324" t="str">
        <f t="shared" si="170"/>
        <v/>
      </c>
      <c r="M1389" s="323"/>
    </row>
    <row r="1390" spans="1:13">
      <c r="A1390" s="320"/>
      <c r="B1390" s="320"/>
      <c r="C1390" s="320"/>
      <c r="D1390" s="320"/>
      <c r="E1390" s="320"/>
      <c r="F1390" s="320"/>
      <c r="G1390" s="291" t="s">
        <v>919</v>
      </c>
      <c r="H1390" s="291">
        <f t="shared" si="169"/>
        <v>280</v>
      </c>
      <c r="I1390" s="291">
        <v>16</v>
      </c>
      <c r="J1390" s="323"/>
      <c r="K1390" s="323"/>
      <c r="L1390" s="324" t="str">
        <f t="shared" si="170"/>
        <v>扩展帧CAN消息</v>
      </c>
      <c r="M1390" s="323"/>
    </row>
    <row r="1391" spans="1:13">
      <c r="A1391" s="320"/>
      <c r="B1391" s="320"/>
      <c r="C1391" s="320"/>
      <c r="D1391" s="320"/>
      <c r="E1391" s="320"/>
      <c r="F1391" s="320"/>
      <c r="G1391" s="291" t="s">
        <v>920</v>
      </c>
      <c r="H1391" s="291">
        <f t="shared" si="169"/>
        <v>296</v>
      </c>
      <c r="I1391" s="291">
        <v>16</v>
      </c>
      <c r="J1391" s="323"/>
      <c r="K1391" s="323"/>
      <c r="L1391" s="324" t="str">
        <f t="shared" si="170"/>
        <v>扩展帧CAN消息</v>
      </c>
      <c r="M1391" s="323"/>
    </row>
    <row r="1392" spans="1:13">
      <c r="A1392" s="320"/>
      <c r="B1392" s="320"/>
      <c r="C1392" s="320"/>
      <c r="D1392" s="320"/>
      <c r="E1392" s="320"/>
      <c r="F1392" s="320"/>
      <c r="G1392" s="291" t="s">
        <v>921</v>
      </c>
      <c r="H1392" s="291">
        <f t="shared" si="169"/>
        <v>312</v>
      </c>
      <c r="I1392" s="291">
        <v>16</v>
      </c>
      <c r="J1392" s="323"/>
      <c r="K1392" s="323"/>
      <c r="L1392" s="324" t="str">
        <f t="shared" si="170"/>
        <v>扩展帧CAN消息</v>
      </c>
      <c r="M1392" s="323"/>
    </row>
    <row r="1393" spans="1:13">
      <c r="A1393" s="320"/>
      <c r="B1393" s="320"/>
      <c r="C1393" s="320"/>
      <c r="D1393" s="320"/>
      <c r="E1393" s="320"/>
      <c r="F1393" s="320"/>
      <c r="G1393" s="291" t="s">
        <v>922</v>
      </c>
      <c r="H1393" s="291">
        <f t="shared" si="169"/>
        <v>328</v>
      </c>
      <c r="I1393" s="291">
        <v>16</v>
      </c>
      <c r="J1393" s="323"/>
      <c r="K1393" s="323"/>
      <c r="L1393" s="324" t="str">
        <f t="shared" si="170"/>
        <v>扩展帧CAN消息</v>
      </c>
      <c r="M1393" s="323"/>
    </row>
    <row r="1394" spans="1:13">
      <c r="A1394" s="320"/>
      <c r="B1394" s="320"/>
      <c r="C1394" s="320"/>
      <c r="D1394" s="320"/>
      <c r="E1394" s="320"/>
      <c r="F1394" s="320"/>
      <c r="G1394" s="320" t="s">
        <v>120</v>
      </c>
      <c r="H1394" s="291">
        <f t="shared" si="169"/>
        <v>344</v>
      </c>
      <c r="I1394" s="291">
        <v>4</v>
      </c>
      <c r="J1394" s="323"/>
      <c r="K1394" s="323"/>
      <c r="L1394" s="324" t="str">
        <f t="shared" si="170"/>
        <v/>
      </c>
      <c r="M1394" s="323"/>
    </row>
    <row r="1395" spans="1:13">
      <c r="A1395" s="320"/>
      <c r="B1395" s="320"/>
      <c r="C1395" s="320"/>
      <c r="D1395" s="320"/>
      <c r="E1395" s="320"/>
      <c r="F1395" s="320"/>
      <c r="G1395" s="291" t="s">
        <v>923</v>
      </c>
      <c r="H1395" s="291">
        <f t="shared" si="169"/>
        <v>348</v>
      </c>
      <c r="I1395" s="291">
        <v>16</v>
      </c>
      <c r="J1395" s="323"/>
      <c r="K1395" s="323"/>
      <c r="L1395" s="324" t="str">
        <f t="shared" si="170"/>
        <v>扩展帧CAN消息</v>
      </c>
      <c r="M1395" s="323"/>
    </row>
    <row r="1396" spans="1:13">
      <c r="A1396" s="320"/>
      <c r="B1396" s="320"/>
      <c r="C1396" s="320"/>
      <c r="D1396" s="320"/>
      <c r="E1396" s="320"/>
      <c r="F1396" s="320"/>
      <c r="G1396" s="291" t="s">
        <v>924</v>
      </c>
      <c r="H1396" s="291">
        <f t="shared" si="169"/>
        <v>364</v>
      </c>
      <c r="I1396" s="291">
        <v>16</v>
      </c>
      <c r="J1396" s="323"/>
      <c r="K1396" s="323"/>
      <c r="L1396" s="324" t="str">
        <f t="shared" si="170"/>
        <v>扩展帧CAN消息</v>
      </c>
      <c r="M1396" s="323"/>
    </row>
    <row r="1397" spans="1:13">
      <c r="A1397" s="320"/>
      <c r="B1397" s="320"/>
      <c r="C1397" s="320"/>
      <c r="D1397" s="320"/>
      <c r="E1397" s="320"/>
      <c r="F1397" s="320"/>
      <c r="G1397" s="291" t="s">
        <v>925</v>
      </c>
      <c r="H1397" s="291">
        <f t="shared" si="169"/>
        <v>380</v>
      </c>
      <c r="I1397" s="291">
        <v>16</v>
      </c>
      <c r="J1397" s="323"/>
      <c r="K1397" s="323"/>
      <c r="L1397" s="324" t="str">
        <f t="shared" si="170"/>
        <v>扩展帧CAN消息</v>
      </c>
      <c r="M1397" s="323"/>
    </row>
    <row r="1398" spans="1:13">
      <c r="A1398" s="320"/>
      <c r="B1398" s="320"/>
      <c r="C1398" s="320"/>
      <c r="D1398" s="320"/>
      <c r="E1398" s="320"/>
      <c r="F1398" s="320"/>
      <c r="G1398" s="291" t="s">
        <v>926</v>
      </c>
      <c r="H1398" s="291">
        <f t="shared" si="169"/>
        <v>396</v>
      </c>
      <c r="I1398" s="291">
        <v>16</v>
      </c>
      <c r="J1398" s="323"/>
      <c r="K1398" s="323"/>
      <c r="L1398" s="324" t="str">
        <f t="shared" si="170"/>
        <v>扩展帧CAN消息</v>
      </c>
      <c r="M1398" s="323"/>
    </row>
    <row r="1399" spans="1:13">
      <c r="A1399" s="320"/>
      <c r="B1399" s="320"/>
      <c r="C1399" s="320"/>
      <c r="D1399" s="320"/>
      <c r="E1399" s="320"/>
      <c r="F1399" s="320"/>
      <c r="G1399" s="320" t="s">
        <v>120</v>
      </c>
      <c r="H1399" s="291">
        <f t="shared" si="169"/>
        <v>412</v>
      </c>
      <c r="I1399" s="291">
        <v>4</v>
      </c>
      <c r="J1399" s="323"/>
      <c r="K1399" s="323"/>
      <c r="L1399" s="324" t="str">
        <f t="shared" si="170"/>
        <v/>
      </c>
      <c r="M1399" s="323"/>
    </row>
    <row r="1400" spans="1:13">
      <c r="A1400" s="320"/>
      <c r="B1400" s="320"/>
      <c r="C1400" s="320"/>
      <c r="D1400" s="320"/>
      <c r="E1400" s="320"/>
      <c r="F1400" s="320"/>
      <c r="G1400" s="291" t="s">
        <v>927</v>
      </c>
      <c r="H1400" s="291">
        <f t="shared" si="169"/>
        <v>416</v>
      </c>
      <c r="I1400" s="291">
        <v>16</v>
      </c>
      <c r="J1400" s="323"/>
      <c r="K1400" s="323"/>
      <c r="L1400" s="324" t="str">
        <f t="shared" si="170"/>
        <v>扩展帧CAN消息</v>
      </c>
      <c r="M1400" s="323"/>
    </row>
    <row r="1401" spans="1:13">
      <c r="A1401" s="320"/>
      <c r="B1401" s="320"/>
      <c r="C1401" s="320"/>
      <c r="D1401" s="320"/>
      <c r="E1401" s="320"/>
      <c r="F1401" s="320"/>
      <c r="G1401" s="291" t="s">
        <v>928</v>
      </c>
      <c r="H1401" s="291">
        <f t="shared" si="169"/>
        <v>432</v>
      </c>
      <c r="I1401" s="291">
        <v>16</v>
      </c>
      <c r="J1401" s="323"/>
      <c r="K1401" s="323"/>
      <c r="L1401" s="324" t="str">
        <f t="shared" si="170"/>
        <v>扩展帧CAN消息</v>
      </c>
      <c r="M1401" s="323"/>
    </row>
    <row r="1402" spans="1:13">
      <c r="A1402" s="320"/>
      <c r="B1402" s="320"/>
      <c r="C1402" s="320"/>
      <c r="D1402" s="320"/>
      <c r="E1402" s="320"/>
      <c r="F1402" s="320"/>
      <c r="G1402" s="291" t="s">
        <v>929</v>
      </c>
      <c r="H1402" s="291">
        <f t="shared" si="169"/>
        <v>448</v>
      </c>
      <c r="I1402" s="291">
        <v>16</v>
      </c>
      <c r="J1402" s="323"/>
      <c r="K1402" s="323"/>
      <c r="L1402" s="324" t="str">
        <f t="shared" si="170"/>
        <v>扩展帧CAN消息</v>
      </c>
      <c r="M1402" s="323"/>
    </row>
    <row r="1403" spans="1:13">
      <c r="A1403" s="320"/>
      <c r="B1403" s="320"/>
      <c r="C1403" s="320"/>
      <c r="D1403" s="320"/>
      <c r="E1403" s="320"/>
      <c r="F1403" s="320"/>
      <c r="G1403" s="320" t="s">
        <v>930</v>
      </c>
      <c r="H1403" s="291">
        <f t="shared" si="169"/>
        <v>464</v>
      </c>
      <c r="I1403" s="291">
        <v>16</v>
      </c>
      <c r="J1403" s="323"/>
      <c r="K1403" s="323"/>
      <c r="L1403" s="324" t="str">
        <f t="shared" si="170"/>
        <v>扩展帧CAN消息</v>
      </c>
      <c r="M1403" s="323"/>
    </row>
    <row r="1404" spans="1:13">
      <c r="A1404" s="320"/>
      <c r="B1404" s="320"/>
      <c r="C1404" s="320"/>
      <c r="D1404" s="320"/>
      <c r="E1404" s="320"/>
      <c r="F1404" s="320"/>
      <c r="G1404" s="320" t="s">
        <v>120</v>
      </c>
      <c r="H1404" s="291">
        <f t="shared" si="169"/>
        <v>480</v>
      </c>
      <c r="I1404" s="291">
        <v>4</v>
      </c>
      <c r="J1404" s="323"/>
      <c r="K1404" s="323"/>
      <c r="L1404" s="324" t="str">
        <f t="shared" si="170"/>
        <v/>
      </c>
      <c r="M1404" s="323"/>
    </row>
    <row r="1405" spans="1:13">
      <c r="A1405" s="320"/>
      <c r="B1405" s="320"/>
      <c r="C1405" s="320"/>
      <c r="D1405" s="320"/>
      <c r="E1405" s="320"/>
      <c r="F1405" s="320"/>
      <c r="G1405" s="320" t="s">
        <v>931</v>
      </c>
      <c r="H1405" s="291">
        <f t="shared" si="169"/>
        <v>484</v>
      </c>
      <c r="I1405" s="291">
        <v>16</v>
      </c>
      <c r="J1405" s="323"/>
      <c r="K1405" s="323"/>
      <c r="L1405" s="324" t="str">
        <f t="shared" si="170"/>
        <v>扩展帧CAN消息</v>
      </c>
      <c r="M1405" s="323"/>
    </row>
    <row r="1406" spans="1:13">
      <c r="A1406" s="320"/>
      <c r="B1406" s="320"/>
      <c r="C1406" s="320"/>
      <c r="D1406" s="320"/>
      <c r="E1406" s="320"/>
      <c r="F1406" s="320"/>
      <c r="G1406" s="320" t="s">
        <v>932</v>
      </c>
      <c r="H1406" s="291">
        <f t="shared" si="169"/>
        <v>500</v>
      </c>
      <c r="I1406" s="291">
        <v>16</v>
      </c>
      <c r="J1406" s="323"/>
      <c r="K1406" s="323"/>
      <c r="L1406" s="324" t="str">
        <f t="shared" si="170"/>
        <v>扩展帧CAN消息</v>
      </c>
      <c r="M1406" s="323"/>
    </row>
    <row r="1407" spans="1:13">
      <c r="A1407" s="320"/>
      <c r="B1407" s="320"/>
      <c r="C1407" s="320"/>
      <c r="D1407" s="320"/>
      <c r="E1407" s="320"/>
      <c r="F1407" s="320"/>
      <c r="G1407" s="320" t="s">
        <v>933</v>
      </c>
      <c r="H1407" s="291">
        <f t="shared" si="169"/>
        <v>516</v>
      </c>
      <c r="I1407" s="291">
        <v>16</v>
      </c>
      <c r="J1407" s="323"/>
      <c r="K1407" s="323"/>
      <c r="L1407" s="324" t="str">
        <f t="shared" si="170"/>
        <v>扩展帧CAN消息</v>
      </c>
      <c r="M1407" s="323"/>
    </row>
    <row r="1408" spans="1:13">
      <c r="A1408" s="320"/>
      <c r="B1408" s="320"/>
      <c r="C1408" s="320"/>
      <c r="D1408" s="320"/>
      <c r="E1408" s="320"/>
      <c r="F1408" s="320"/>
      <c r="G1408" s="320" t="s">
        <v>934</v>
      </c>
      <c r="H1408" s="291">
        <f t="shared" si="169"/>
        <v>532</v>
      </c>
      <c r="I1408" s="291">
        <v>16</v>
      </c>
      <c r="J1408" s="323"/>
      <c r="K1408" s="323"/>
      <c r="L1408" s="324" t="str">
        <f t="shared" si="170"/>
        <v>扩展帧CAN消息</v>
      </c>
      <c r="M1408" s="323"/>
    </row>
    <row r="1409" spans="1:13">
      <c r="A1409" s="320"/>
      <c r="B1409" s="320"/>
      <c r="C1409" s="320"/>
      <c r="D1409" s="320"/>
      <c r="E1409" s="320"/>
      <c r="F1409" s="320"/>
      <c r="G1409" s="320" t="s">
        <v>120</v>
      </c>
      <c r="H1409" s="291">
        <f t="shared" si="169"/>
        <v>548</v>
      </c>
      <c r="I1409" s="291">
        <v>4</v>
      </c>
      <c r="J1409" s="323"/>
      <c r="K1409" s="323"/>
      <c r="L1409" s="324" t="str">
        <f t="shared" si="170"/>
        <v/>
      </c>
      <c r="M1409" s="323"/>
    </row>
    <row r="1410" spans="1:13">
      <c r="A1410" s="320"/>
      <c r="B1410" s="320"/>
      <c r="C1410" s="320"/>
      <c r="D1410" s="320"/>
      <c r="E1410" s="320"/>
      <c r="F1410" s="320"/>
      <c r="G1410" s="320" t="s">
        <v>935</v>
      </c>
      <c r="H1410" s="291">
        <f t="shared" si="169"/>
        <v>552</v>
      </c>
      <c r="I1410" s="291">
        <v>16</v>
      </c>
      <c r="J1410" s="323"/>
      <c r="K1410" s="323"/>
      <c r="L1410" s="324" t="str">
        <f t="shared" si="170"/>
        <v>扩展帧CAN消息</v>
      </c>
      <c r="M1410" s="323"/>
    </row>
    <row r="1411" spans="1:13">
      <c r="A1411" s="320"/>
      <c r="B1411" s="320"/>
      <c r="C1411" s="320"/>
      <c r="D1411" s="320"/>
      <c r="E1411" s="320"/>
      <c r="F1411" s="320"/>
      <c r="G1411" s="320" t="s">
        <v>936</v>
      </c>
      <c r="H1411" s="291">
        <f t="shared" si="169"/>
        <v>568</v>
      </c>
      <c r="I1411" s="291">
        <v>16</v>
      </c>
      <c r="J1411" s="323"/>
      <c r="K1411" s="323"/>
      <c r="L1411" s="324" t="str">
        <f t="shared" si="170"/>
        <v>扩展帧CAN消息</v>
      </c>
      <c r="M1411" s="323"/>
    </row>
    <row r="1412" spans="1:13">
      <c r="A1412" s="320"/>
      <c r="B1412" s="320"/>
      <c r="C1412" s="320"/>
      <c r="D1412" s="320"/>
      <c r="E1412" s="320"/>
      <c r="F1412" s="320"/>
      <c r="G1412" s="320" t="s">
        <v>937</v>
      </c>
      <c r="H1412" s="291">
        <f t="shared" si="169"/>
        <v>584</v>
      </c>
      <c r="I1412" s="291">
        <v>16</v>
      </c>
      <c r="J1412" s="323"/>
      <c r="K1412" s="323"/>
      <c r="L1412" s="324" t="str">
        <f t="shared" si="170"/>
        <v>扩展帧CAN消息</v>
      </c>
      <c r="M1412" s="323"/>
    </row>
    <row r="1413" spans="1:13">
      <c r="A1413" s="320"/>
      <c r="B1413" s="320"/>
      <c r="C1413" s="320"/>
      <c r="D1413" s="320"/>
      <c r="E1413" s="320"/>
      <c r="F1413" s="320"/>
      <c r="G1413" s="320" t="s">
        <v>938</v>
      </c>
      <c r="H1413" s="291">
        <f t="shared" si="169"/>
        <v>600</v>
      </c>
      <c r="I1413" s="291">
        <v>16</v>
      </c>
      <c r="J1413" s="323"/>
      <c r="K1413" s="323"/>
      <c r="L1413" s="324" t="str">
        <f t="shared" si="170"/>
        <v>扩展帧CAN消息</v>
      </c>
      <c r="M1413" s="327"/>
    </row>
    <row r="1414" spans="1:13">
      <c r="A1414" s="291" t="s">
        <v>939</v>
      </c>
      <c r="B1414" s="291" t="s">
        <v>940</v>
      </c>
      <c r="C1414" s="291" t="s">
        <v>877</v>
      </c>
      <c r="D1414" s="291" t="s">
        <v>118</v>
      </c>
      <c r="E1414" s="291">
        <v>7036</v>
      </c>
      <c r="F1414" s="320" t="s">
        <v>86</v>
      </c>
      <c r="G1414" s="291" t="s">
        <v>134</v>
      </c>
      <c r="H1414" s="291">
        <v>0</v>
      </c>
      <c r="I1414" s="328">
        <v>4</v>
      </c>
      <c r="J1414" s="291" t="s">
        <v>97</v>
      </c>
      <c r="K1414" s="291">
        <v>1000</v>
      </c>
      <c r="L1414" s="324" t="str">
        <f t="shared" si="170"/>
        <v/>
      </c>
      <c r="M1414" s="292">
        <v>1402201</v>
      </c>
    </row>
    <row r="1415" spans="1:13">
      <c r="A1415" s="291"/>
      <c r="B1415" s="291"/>
      <c r="C1415" s="291"/>
      <c r="D1415" s="291"/>
      <c r="E1415" s="291"/>
      <c r="F1415" s="320"/>
      <c r="G1415" s="329" t="s">
        <v>88</v>
      </c>
      <c r="H1415" s="291">
        <f>H1414+I1414</f>
        <v>4</v>
      </c>
      <c r="I1415" s="328">
        <v>4</v>
      </c>
      <c r="J1415" s="291"/>
      <c r="K1415" s="291"/>
      <c r="L1415" s="324" t="str">
        <f t="shared" si="170"/>
        <v/>
      </c>
      <c r="M1415" s="297"/>
    </row>
    <row r="1416" spans="1:13">
      <c r="A1416" s="291"/>
      <c r="B1416" s="291"/>
      <c r="C1416" s="291"/>
      <c r="D1416" s="291"/>
      <c r="E1416" s="291"/>
      <c r="F1416" s="320"/>
      <c r="G1416" s="291" t="s">
        <v>941</v>
      </c>
      <c r="H1416" s="291">
        <f>H1415+I1415</f>
        <v>8</v>
      </c>
      <c r="I1416" s="328">
        <v>16</v>
      </c>
      <c r="J1416" s="291"/>
      <c r="K1416" s="291"/>
      <c r="L1416" s="324" t="str">
        <f t="shared" si="170"/>
        <v>扩展帧CAN消息</v>
      </c>
      <c r="M1416" s="297"/>
    </row>
    <row r="1417" spans="1:13">
      <c r="A1417" s="291"/>
      <c r="B1417" s="291"/>
      <c r="C1417" s="291"/>
      <c r="D1417" s="291"/>
      <c r="E1417" s="291"/>
      <c r="F1417" s="320"/>
      <c r="G1417" s="291" t="s">
        <v>942</v>
      </c>
      <c r="H1417" s="291">
        <f>H1416+I1416</f>
        <v>24</v>
      </c>
      <c r="I1417" s="328">
        <v>16</v>
      </c>
      <c r="J1417" s="291"/>
      <c r="K1417" s="291"/>
      <c r="L1417" s="324" t="str">
        <f t="shared" si="170"/>
        <v>扩展帧CAN消息</v>
      </c>
      <c r="M1417" s="297"/>
    </row>
    <row r="1418" spans="1:13">
      <c r="A1418" s="291"/>
      <c r="B1418" s="291"/>
      <c r="C1418" s="291"/>
      <c r="D1418" s="291"/>
      <c r="E1418" s="291"/>
      <c r="F1418" s="320"/>
      <c r="G1418" s="291" t="s">
        <v>943</v>
      </c>
      <c r="H1418" s="291">
        <f t="shared" ref="H1418:H1449" si="171">H1417+I1417</f>
        <v>40</v>
      </c>
      <c r="I1418" s="328">
        <v>16</v>
      </c>
      <c r="J1418" s="291"/>
      <c r="K1418" s="291"/>
      <c r="L1418" s="324" t="str">
        <f t="shared" si="170"/>
        <v>扩展帧CAN消息</v>
      </c>
      <c r="M1418" s="297"/>
    </row>
    <row r="1419" spans="1:13">
      <c r="A1419" s="291"/>
      <c r="B1419" s="291"/>
      <c r="C1419" s="291"/>
      <c r="D1419" s="291"/>
      <c r="E1419" s="291"/>
      <c r="F1419" s="320"/>
      <c r="G1419" s="291" t="s">
        <v>944</v>
      </c>
      <c r="H1419" s="291">
        <f t="shared" si="171"/>
        <v>56</v>
      </c>
      <c r="I1419" s="328">
        <v>16</v>
      </c>
      <c r="J1419" s="291"/>
      <c r="K1419" s="291"/>
      <c r="L1419" s="324" t="str">
        <f t="shared" si="170"/>
        <v>扩展帧CAN消息</v>
      </c>
      <c r="M1419" s="297"/>
    </row>
    <row r="1420" spans="1:13">
      <c r="A1420" s="291"/>
      <c r="B1420" s="291"/>
      <c r="C1420" s="291"/>
      <c r="D1420" s="291"/>
      <c r="E1420" s="291"/>
      <c r="F1420" s="320"/>
      <c r="G1420" s="329" t="s">
        <v>88</v>
      </c>
      <c r="H1420" s="291">
        <f t="shared" si="171"/>
        <v>72</v>
      </c>
      <c r="I1420" s="328">
        <v>4</v>
      </c>
      <c r="J1420" s="291"/>
      <c r="K1420" s="291"/>
      <c r="L1420" s="324"/>
      <c r="M1420" s="297"/>
    </row>
    <row r="1421" spans="1:13">
      <c r="A1421" s="291"/>
      <c r="B1421" s="291"/>
      <c r="C1421" s="291"/>
      <c r="D1421" s="291"/>
      <c r="E1421" s="291"/>
      <c r="F1421" s="320"/>
      <c r="G1421" s="291" t="s">
        <v>945</v>
      </c>
      <c r="H1421" s="291">
        <f t="shared" si="171"/>
        <v>76</v>
      </c>
      <c r="I1421" s="328">
        <v>16</v>
      </c>
      <c r="J1421" s="291"/>
      <c r="K1421" s="291"/>
      <c r="L1421" s="324" t="str">
        <f>IF(RIGHT(G1421,5)="FRAME","扩展帧CAN消息","")</f>
        <v>扩展帧CAN消息</v>
      </c>
      <c r="M1421" s="297"/>
    </row>
    <row r="1422" spans="1:13">
      <c r="A1422" s="291"/>
      <c r="B1422" s="291"/>
      <c r="C1422" s="291"/>
      <c r="D1422" s="291"/>
      <c r="E1422" s="291"/>
      <c r="F1422" s="320"/>
      <c r="G1422" s="291" t="s">
        <v>946</v>
      </c>
      <c r="H1422" s="291">
        <f t="shared" si="171"/>
        <v>92</v>
      </c>
      <c r="I1422" s="328">
        <v>16</v>
      </c>
      <c r="J1422" s="291"/>
      <c r="K1422" s="291"/>
      <c r="L1422" s="324" t="str">
        <f>IF(RIGHT(G1422,5)="FRAME","扩展帧CAN消息","")</f>
        <v>扩展帧CAN消息</v>
      </c>
      <c r="M1422" s="297"/>
    </row>
    <row r="1423" spans="1:13">
      <c r="A1423" s="291"/>
      <c r="B1423" s="291"/>
      <c r="C1423" s="291"/>
      <c r="D1423" s="291"/>
      <c r="E1423" s="291"/>
      <c r="F1423" s="320"/>
      <c r="G1423" s="291" t="s">
        <v>947</v>
      </c>
      <c r="H1423" s="291">
        <f t="shared" si="171"/>
        <v>108</v>
      </c>
      <c r="I1423" s="328">
        <v>16</v>
      </c>
      <c r="J1423" s="291"/>
      <c r="K1423" s="291"/>
      <c r="L1423" s="324" t="str">
        <f>IF(RIGHT(G1423,5)="FRAME","扩展帧CAN消息","")</f>
        <v>扩展帧CAN消息</v>
      </c>
      <c r="M1423" s="297"/>
    </row>
    <row r="1424" spans="1:13">
      <c r="A1424" s="291"/>
      <c r="B1424" s="291"/>
      <c r="C1424" s="291"/>
      <c r="D1424" s="291"/>
      <c r="E1424" s="291"/>
      <c r="F1424" s="320"/>
      <c r="G1424" s="291" t="s">
        <v>948</v>
      </c>
      <c r="H1424" s="291">
        <f t="shared" si="171"/>
        <v>124</v>
      </c>
      <c r="I1424" s="328">
        <v>16</v>
      </c>
      <c r="J1424" s="291"/>
      <c r="K1424" s="291"/>
      <c r="L1424" s="324" t="str">
        <f>IF(RIGHT(G1424,5)="FRAME","扩展帧CAN消息","")</f>
        <v>扩展帧CAN消息</v>
      </c>
      <c r="M1424" s="297"/>
    </row>
    <row r="1425" spans="1:13">
      <c r="A1425" s="291"/>
      <c r="B1425" s="291"/>
      <c r="C1425" s="291"/>
      <c r="D1425" s="291"/>
      <c r="E1425" s="291"/>
      <c r="F1425" s="320"/>
      <c r="G1425" s="329" t="s">
        <v>88</v>
      </c>
      <c r="H1425" s="291">
        <f t="shared" si="171"/>
        <v>140</v>
      </c>
      <c r="I1425" s="328">
        <v>4</v>
      </c>
      <c r="J1425" s="291"/>
      <c r="K1425" s="291"/>
      <c r="L1425" s="324"/>
      <c r="M1425" s="297"/>
    </row>
    <row r="1426" spans="1:13">
      <c r="A1426" s="291"/>
      <c r="B1426" s="291"/>
      <c r="C1426" s="291"/>
      <c r="D1426" s="291"/>
      <c r="E1426" s="291"/>
      <c r="F1426" s="320"/>
      <c r="G1426" s="291" t="s">
        <v>949</v>
      </c>
      <c r="H1426" s="291">
        <f t="shared" si="171"/>
        <v>144</v>
      </c>
      <c r="I1426" s="328">
        <v>16</v>
      </c>
      <c r="J1426" s="291"/>
      <c r="K1426" s="291"/>
      <c r="L1426" s="324" t="str">
        <f>IF(RIGHT(G1426,5)="FRAME","扩展帧CAN消息","")</f>
        <v>扩展帧CAN消息</v>
      </c>
      <c r="M1426" s="297"/>
    </row>
    <row r="1427" spans="1:13">
      <c r="A1427" s="291"/>
      <c r="B1427" s="291"/>
      <c r="C1427" s="291"/>
      <c r="D1427" s="291"/>
      <c r="E1427" s="291"/>
      <c r="F1427" s="320"/>
      <c r="G1427" s="291" t="s">
        <v>950</v>
      </c>
      <c r="H1427" s="291">
        <f t="shared" si="171"/>
        <v>160</v>
      </c>
      <c r="I1427" s="328">
        <v>16</v>
      </c>
      <c r="J1427" s="291"/>
      <c r="K1427" s="291"/>
      <c r="L1427" s="324" t="str">
        <f>IF(RIGHT(G1427,5)="FRAME","扩展帧CAN消息","")</f>
        <v>扩展帧CAN消息</v>
      </c>
      <c r="M1427" s="297"/>
    </row>
    <row r="1428" spans="1:13">
      <c r="A1428" s="291"/>
      <c r="B1428" s="291"/>
      <c r="C1428" s="291"/>
      <c r="D1428" s="291"/>
      <c r="E1428" s="291"/>
      <c r="F1428" s="320"/>
      <c r="G1428" s="291" t="s">
        <v>951</v>
      </c>
      <c r="H1428" s="291">
        <f t="shared" si="171"/>
        <v>176</v>
      </c>
      <c r="I1428" s="328">
        <v>16</v>
      </c>
      <c r="J1428" s="291"/>
      <c r="K1428" s="291"/>
      <c r="L1428" s="324" t="str">
        <f>IF(RIGHT(G1428,5)="FRAME","扩展帧CAN消息","")</f>
        <v>扩展帧CAN消息</v>
      </c>
      <c r="M1428" s="297"/>
    </row>
    <row r="1429" spans="1:13">
      <c r="A1429" s="291"/>
      <c r="B1429" s="291"/>
      <c r="C1429" s="291"/>
      <c r="D1429" s="291"/>
      <c r="E1429" s="291"/>
      <c r="F1429" s="320"/>
      <c r="G1429" s="291" t="s">
        <v>952</v>
      </c>
      <c r="H1429" s="291">
        <f t="shared" si="171"/>
        <v>192</v>
      </c>
      <c r="I1429" s="328">
        <v>16</v>
      </c>
      <c r="J1429" s="291"/>
      <c r="K1429" s="291"/>
      <c r="L1429" s="324" t="str">
        <f>IF(RIGHT(G1429,5)="FRAME","扩展帧CAN消息","")</f>
        <v>扩展帧CAN消息</v>
      </c>
      <c r="M1429" s="297"/>
    </row>
    <row r="1430" spans="1:13">
      <c r="A1430" s="291"/>
      <c r="B1430" s="291"/>
      <c r="C1430" s="291"/>
      <c r="D1430" s="291"/>
      <c r="E1430" s="291"/>
      <c r="F1430" s="320"/>
      <c r="G1430" s="329" t="s">
        <v>88</v>
      </c>
      <c r="H1430" s="291">
        <f t="shared" si="171"/>
        <v>208</v>
      </c>
      <c r="I1430" s="328">
        <v>4</v>
      </c>
      <c r="J1430" s="291"/>
      <c r="K1430" s="291"/>
      <c r="L1430" s="324"/>
      <c r="M1430" s="297"/>
    </row>
    <row r="1431" spans="1:13">
      <c r="A1431" s="291"/>
      <c r="B1431" s="291"/>
      <c r="C1431" s="291"/>
      <c r="D1431" s="291"/>
      <c r="E1431" s="291"/>
      <c r="F1431" s="320"/>
      <c r="G1431" s="291" t="s">
        <v>953</v>
      </c>
      <c r="H1431" s="291">
        <f t="shared" si="171"/>
        <v>212</v>
      </c>
      <c r="I1431" s="328">
        <v>16</v>
      </c>
      <c r="J1431" s="291"/>
      <c r="K1431" s="291"/>
      <c r="L1431" s="324" t="str">
        <f>IF(RIGHT(G1431,5)="FRAME","扩展帧CAN消息","")</f>
        <v>扩展帧CAN消息</v>
      </c>
      <c r="M1431" s="297"/>
    </row>
    <row r="1432" spans="1:13">
      <c r="A1432" s="291"/>
      <c r="B1432" s="291"/>
      <c r="C1432" s="291"/>
      <c r="D1432" s="291"/>
      <c r="E1432" s="291"/>
      <c r="F1432" s="320"/>
      <c r="G1432" s="291" t="s">
        <v>954</v>
      </c>
      <c r="H1432" s="291">
        <f t="shared" si="171"/>
        <v>228</v>
      </c>
      <c r="I1432" s="328">
        <v>16</v>
      </c>
      <c r="J1432" s="291"/>
      <c r="K1432" s="291"/>
      <c r="L1432" s="324" t="str">
        <f>IF(RIGHT(G1432,5)="FRAME","扩展帧CAN消息","")</f>
        <v>扩展帧CAN消息</v>
      </c>
      <c r="M1432" s="297"/>
    </row>
    <row r="1433" spans="1:13">
      <c r="A1433" s="291"/>
      <c r="B1433" s="291"/>
      <c r="C1433" s="291"/>
      <c r="D1433" s="291"/>
      <c r="E1433" s="291"/>
      <c r="F1433" s="320"/>
      <c r="G1433" s="291" t="s">
        <v>955</v>
      </c>
      <c r="H1433" s="291">
        <f t="shared" si="171"/>
        <v>244</v>
      </c>
      <c r="I1433" s="328">
        <v>16</v>
      </c>
      <c r="J1433" s="291"/>
      <c r="K1433" s="291"/>
      <c r="L1433" s="324" t="str">
        <f>IF(RIGHT(G1433,5)="FRAME","扩展帧CAN消息","")</f>
        <v>扩展帧CAN消息</v>
      </c>
      <c r="M1433" s="297"/>
    </row>
    <row r="1434" spans="1:13">
      <c r="A1434" s="291"/>
      <c r="B1434" s="291"/>
      <c r="C1434" s="291"/>
      <c r="D1434" s="291"/>
      <c r="E1434" s="291"/>
      <c r="F1434" s="320"/>
      <c r="G1434" s="291" t="s">
        <v>956</v>
      </c>
      <c r="H1434" s="291">
        <f t="shared" si="171"/>
        <v>260</v>
      </c>
      <c r="I1434" s="328">
        <v>16</v>
      </c>
      <c r="J1434" s="291"/>
      <c r="K1434" s="291"/>
      <c r="L1434" s="324" t="str">
        <f>IF(RIGHT(G1434,5)="FRAME","扩展帧CAN消息","")</f>
        <v>扩展帧CAN消息</v>
      </c>
      <c r="M1434" s="297"/>
    </row>
    <row r="1435" spans="1:13">
      <c r="A1435" s="291"/>
      <c r="B1435" s="291"/>
      <c r="C1435" s="291"/>
      <c r="D1435" s="291"/>
      <c r="E1435" s="291"/>
      <c r="F1435" s="320"/>
      <c r="G1435" s="329" t="s">
        <v>88</v>
      </c>
      <c r="H1435" s="291">
        <f t="shared" si="171"/>
        <v>276</v>
      </c>
      <c r="I1435" s="328">
        <v>4</v>
      </c>
      <c r="J1435" s="291"/>
      <c r="K1435" s="291"/>
      <c r="L1435" s="324"/>
      <c r="M1435" s="297"/>
    </row>
    <row r="1436" spans="1:13">
      <c r="A1436" s="291"/>
      <c r="B1436" s="291"/>
      <c r="C1436" s="291"/>
      <c r="D1436" s="291"/>
      <c r="E1436" s="291"/>
      <c r="F1436" s="320"/>
      <c r="G1436" s="291" t="s">
        <v>957</v>
      </c>
      <c r="H1436" s="291">
        <f t="shared" si="171"/>
        <v>280</v>
      </c>
      <c r="I1436" s="328">
        <v>16</v>
      </c>
      <c r="J1436" s="291"/>
      <c r="K1436" s="291"/>
      <c r="L1436" s="324" t="str">
        <f>IF(RIGHT(G1436,5)="FRAME","扩展帧CAN消息","")</f>
        <v>扩展帧CAN消息</v>
      </c>
      <c r="M1436" s="297"/>
    </row>
    <row r="1437" spans="1:13">
      <c r="A1437" s="291"/>
      <c r="B1437" s="291"/>
      <c r="C1437" s="291"/>
      <c r="D1437" s="291"/>
      <c r="E1437" s="291"/>
      <c r="F1437" s="320"/>
      <c r="G1437" s="291" t="s">
        <v>958</v>
      </c>
      <c r="H1437" s="291">
        <f t="shared" si="171"/>
        <v>296</v>
      </c>
      <c r="I1437" s="328">
        <v>16</v>
      </c>
      <c r="J1437" s="291"/>
      <c r="K1437" s="291"/>
      <c r="L1437" s="324" t="str">
        <f>IF(RIGHT(G1437,5)="FRAME","扩展帧CAN消息","")</f>
        <v>扩展帧CAN消息</v>
      </c>
      <c r="M1437" s="297"/>
    </row>
    <row r="1438" spans="1:13">
      <c r="A1438" s="291"/>
      <c r="B1438" s="291"/>
      <c r="C1438" s="291"/>
      <c r="D1438" s="291"/>
      <c r="E1438" s="291"/>
      <c r="F1438" s="320"/>
      <c r="G1438" s="291" t="s">
        <v>959</v>
      </c>
      <c r="H1438" s="291">
        <f t="shared" si="171"/>
        <v>312</v>
      </c>
      <c r="I1438" s="328">
        <v>16</v>
      </c>
      <c r="J1438" s="291"/>
      <c r="K1438" s="291"/>
      <c r="L1438" s="324" t="str">
        <f>IF(RIGHT(G1438,5)="FRAME","扩展帧CAN消息","")</f>
        <v>扩展帧CAN消息</v>
      </c>
      <c r="M1438" s="297"/>
    </row>
    <row r="1439" spans="1:13">
      <c r="A1439" s="291"/>
      <c r="B1439" s="291"/>
      <c r="C1439" s="291"/>
      <c r="D1439" s="291"/>
      <c r="E1439" s="291"/>
      <c r="F1439" s="320"/>
      <c r="G1439" s="291" t="s">
        <v>960</v>
      </c>
      <c r="H1439" s="291">
        <f t="shared" si="171"/>
        <v>328</v>
      </c>
      <c r="I1439" s="328">
        <v>16</v>
      </c>
      <c r="J1439" s="291"/>
      <c r="K1439" s="291"/>
      <c r="L1439" s="324" t="str">
        <f>IF(RIGHT(G1439,5)="FRAME","扩展帧CAN消息","")</f>
        <v>扩展帧CAN消息</v>
      </c>
      <c r="M1439" s="297"/>
    </row>
    <row r="1440" spans="1:13">
      <c r="A1440" s="291"/>
      <c r="B1440" s="291"/>
      <c r="C1440" s="291"/>
      <c r="D1440" s="291"/>
      <c r="E1440" s="291"/>
      <c r="F1440" s="320"/>
      <c r="G1440" s="329" t="s">
        <v>88</v>
      </c>
      <c r="H1440" s="291">
        <f t="shared" si="171"/>
        <v>344</v>
      </c>
      <c r="I1440" s="328">
        <v>4</v>
      </c>
      <c r="J1440" s="291"/>
      <c r="K1440" s="291"/>
      <c r="L1440" s="324"/>
      <c r="M1440" s="297"/>
    </row>
    <row r="1441" spans="1:13">
      <c r="A1441" s="291"/>
      <c r="B1441" s="291"/>
      <c r="C1441" s="291"/>
      <c r="D1441" s="291"/>
      <c r="E1441" s="291"/>
      <c r="F1441" s="320"/>
      <c r="G1441" s="291" t="s">
        <v>961</v>
      </c>
      <c r="H1441" s="291">
        <f t="shared" si="171"/>
        <v>348</v>
      </c>
      <c r="I1441" s="328">
        <v>16</v>
      </c>
      <c r="J1441" s="291"/>
      <c r="K1441" s="291"/>
      <c r="L1441" s="324" t="str">
        <f>IF(RIGHT(G1441,5)="FRAME","扩展帧CAN消息","")</f>
        <v>扩展帧CAN消息</v>
      </c>
      <c r="M1441" s="297"/>
    </row>
    <row r="1442" spans="1:13">
      <c r="A1442" s="291"/>
      <c r="B1442" s="291"/>
      <c r="C1442" s="291"/>
      <c r="D1442" s="291"/>
      <c r="E1442" s="291"/>
      <c r="F1442" s="320"/>
      <c r="G1442" s="291" t="s">
        <v>962</v>
      </c>
      <c r="H1442" s="291">
        <f t="shared" si="171"/>
        <v>364</v>
      </c>
      <c r="I1442" s="328">
        <v>16</v>
      </c>
      <c r="J1442" s="291"/>
      <c r="K1442" s="291"/>
      <c r="L1442" s="324" t="str">
        <f>IF(RIGHT(G1442,5)="FRAME","扩展帧CAN消息","")</f>
        <v>扩展帧CAN消息</v>
      </c>
      <c r="M1442" s="297"/>
    </row>
    <row r="1443" spans="1:13">
      <c r="A1443" s="291"/>
      <c r="B1443" s="291"/>
      <c r="C1443" s="291"/>
      <c r="D1443" s="291"/>
      <c r="E1443" s="291"/>
      <c r="F1443" s="320"/>
      <c r="G1443" s="291" t="s">
        <v>963</v>
      </c>
      <c r="H1443" s="291">
        <f t="shared" si="171"/>
        <v>380</v>
      </c>
      <c r="I1443" s="328">
        <v>16</v>
      </c>
      <c r="J1443" s="291"/>
      <c r="K1443" s="291"/>
      <c r="L1443" s="324" t="str">
        <f>IF(RIGHT(G1443,5)="FRAME","扩展帧CAN消息","")</f>
        <v>扩展帧CAN消息</v>
      </c>
      <c r="M1443" s="297"/>
    </row>
    <row r="1444" spans="1:13">
      <c r="A1444" s="291"/>
      <c r="B1444" s="291"/>
      <c r="C1444" s="291"/>
      <c r="D1444" s="291"/>
      <c r="E1444" s="291"/>
      <c r="F1444" s="320"/>
      <c r="G1444" s="291" t="s">
        <v>964</v>
      </c>
      <c r="H1444" s="291">
        <f t="shared" si="171"/>
        <v>396</v>
      </c>
      <c r="I1444" s="328">
        <v>16</v>
      </c>
      <c r="J1444" s="291"/>
      <c r="K1444" s="291"/>
      <c r="L1444" s="324" t="str">
        <f>IF(RIGHT(G1444,5)="FRAME","扩展帧CAN消息","")</f>
        <v>扩展帧CAN消息</v>
      </c>
      <c r="M1444" s="297"/>
    </row>
    <row r="1445" spans="1:13">
      <c r="A1445" s="291"/>
      <c r="B1445" s="291"/>
      <c r="C1445" s="291"/>
      <c r="D1445" s="291"/>
      <c r="E1445" s="291"/>
      <c r="F1445" s="320"/>
      <c r="G1445" s="329" t="s">
        <v>88</v>
      </c>
      <c r="H1445" s="291">
        <f t="shared" si="171"/>
        <v>412</v>
      </c>
      <c r="I1445" s="328">
        <v>4</v>
      </c>
      <c r="J1445" s="291"/>
      <c r="K1445" s="291"/>
      <c r="L1445" s="324"/>
      <c r="M1445" s="297"/>
    </row>
    <row r="1446" spans="1:13">
      <c r="A1446" s="291"/>
      <c r="B1446" s="291"/>
      <c r="C1446" s="291"/>
      <c r="D1446" s="291"/>
      <c r="E1446" s="291"/>
      <c r="F1446" s="320"/>
      <c r="G1446" s="291" t="s">
        <v>965</v>
      </c>
      <c r="H1446" s="291">
        <f t="shared" si="171"/>
        <v>416</v>
      </c>
      <c r="I1446" s="328">
        <v>16</v>
      </c>
      <c r="J1446" s="291"/>
      <c r="K1446" s="291"/>
      <c r="L1446" s="324" t="str">
        <f>IF(RIGHT(G1446,5)="FRAME","扩展帧CAN消息","")</f>
        <v>扩展帧CAN消息</v>
      </c>
      <c r="M1446" s="297"/>
    </row>
    <row r="1447" spans="1:13">
      <c r="A1447" s="291"/>
      <c r="B1447" s="291"/>
      <c r="C1447" s="291"/>
      <c r="D1447" s="291"/>
      <c r="E1447" s="291"/>
      <c r="F1447" s="320"/>
      <c r="G1447" s="291" t="s">
        <v>966</v>
      </c>
      <c r="H1447" s="291">
        <f t="shared" si="171"/>
        <v>432</v>
      </c>
      <c r="I1447" s="328">
        <v>16</v>
      </c>
      <c r="J1447" s="291"/>
      <c r="K1447" s="291"/>
      <c r="L1447" s="324" t="str">
        <f>IF(RIGHT(G1447,5)="FRAME","扩展帧CAN消息","")</f>
        <v>扩展帧CAN消息</v>
      </c>
      <c r="M1447" s="297"/>
    </row>
    <row r="1448" spans="1:13">
      <c r="A1448" s="291"/>
      <c r="B1448" s="291"/>
      <c r="C1448" s="291"/>
      <c r="D1448" s="291"/>
      <c r="E1448" s="291"/>
      <c r="F1448" s="320"/>
      <c r="G1448" s="291" t="s">
        <v>967</v>
      </c>
      <c r="H1448" s="291">
        <f t="shared" si="171"/>
        <v>448</v>
      </c>
      <c r="I1448" s="328">
        <v>16</v>
      </c>
      <c r="J1448" s="291"/>
      <c r="K1448" s="291"/>
      <c r="L1448" s="324" t="str">
        <f>IF(RIGHT(G1448,5)="FRAME","扩展帧CAN消息","")</f>
        <v>扩展帧CAN消息</v>
      </c>
      <c r="M1448" s="297"/>
    </row>
    <row r="1449" spans="1:13">
      <c r="A1449" s="291"/>
      <c r="B1449" s="291"/>
      <c r="C1449" s="291"/>
      <c r="D1449" s="291"/>
      <c r="E1449" s="291"/>
      <c r="F1449" s="320"/>
      <c r="G1449" s="291" t="s">
        <v>968</v>
      </c>
      <c r="H1449" s="291">
        <f t="shared" si="171"/>
        <v>464</v>
      </c>
      <c r="I1449" s="328">
        <v>16</v>
      </c>
      <c r="J1449" s="291"/>
      <c r="K1449" s="291"/>
      <c r="L1449" s="324" t="str">
        <f>IF(RIGHT(G1449,5)="FRAME","扩展帧CAN消息","")</f>
        <v>扩展帧CAN消息</v>
      </c>
      <c r="M1449" s="297"/>
    </row>
    <row r="1450" spans="1:13">
      <c r="A1450" s="291"/>
      <c r="B1450" s="291"/>
      <c r="C1450" s="291"/>
      <c r="D1450" s="291"/>
      <c r="E1450" s="291"/>
      <c r="F1450" s="320"/>
      <c r="G1450" s="329" t="s">
        <v>88</v>
      </c>
      <c r="H1450" s="291">
        <f t="shared" ref="H1450:H1484" si="172">H1449+I1449</f>
        <v>480</v>
      </c>
      <c r="I1450" s="328">
        <v>4</v>
      </c>
      <c r="J1450" s="291"/>
      <c r="K1450" s="291"/>
      <c r="L1450" s="324"/>
      <c r="M1450" s="297"/>
    </row>
    <row r="1451" spans="1:13">
      <c r="A1451" s="291"/>
      <c r="B1451" s="291"/>
      <c r="C1451" s="291"/>
      <c r="D1451" s="291"/>
      <c r="E1451" s="291"/>
      <c r="F1451" s="320"/>
      <c r="G1451" s="291" t="s">
        <v>969</v>
      </c>
      <c r="H1451" s="291">
        <f t="shared" si="172"/>
        <v>484</v>
      </c>
      <c r="I1451" s="328">
        <v>16</v>
      </c>
      <c r="J1451" s="291"/>
      <c r="K1451" s="291"/>
      <c r="L1451" s="324" t="str">
        <f>IF(RIGHT(G1451,5)="FRAME","扩展帧CAN消息","")</f>
        <v>扩展帧CAN消息</v>
      </c>
      <c r="M1451" s="297"/>
    </row>
    <row r="1452" spans="1:13">
      <c r="A1452" s="291"/>
      <c r="B1452" s="291"/>
      <c r="C1452" s="291"/>
      <c r="D1452" s="291"/>
      <c r="E1452" s="291"/>
      <c r="F1452" s="320"/>
      <c r="G1452" s="291" t="s">
        <v>970</v>
      </c>
      <c r="H1452" s="291">
        <f t="shared" si="172"/>
        <v>500</v>
      </c>
      <c r="I1452" s="328">
        <v>16</v>
      </c>
      <c r="J1452" s="291"/>
      <c r="K1452" s="291"/>
      <c r="L1452" s="324" t="str">
        <f>IF(RIGHT(G1452,5)="FRAME","扩展帧CAN消息","")</f>
        <v>扩展帧CAN消息</v>
      </c>
      <c r="M1452" s="297"/>
    </row>
    <row r="1453" spans="1:13">
      <c r="A1453" s="291"/>
      <c r="B1453" s="291"/>
      <c r="C1453" s="291"/>
      <c r="D1453" s="291"/>
      <c r="E1453" s="291"/>
      <c r="F1453" s="320"/>
      <c r="G1453" s="291" t="s">
        <v>971</v>
      </c>
      <c r="H1453" s="291">
        <f t="shared" si="172"/>
        <v>516</v>
      </c>
      <c r="I1453" s="328">
        <v>16</v>
      </c>
      <c r="J1453" s="291"/>
      <c r="K1453" s="291"/>
      <c r="L1453" s="324" t="str">
        <f>IF(RIGHT(G1453,5)="FRAME","扩展帧CAN消息","")</f>
        <v>扩展帧CAN消息</v>
      </c>
      <c r="M1453" s="297"/>
    </row>
    <row r="1454" spans="1:13">
      <c r="A1454" s="291"/>
      <c r="B1454" s="291"/>
      <c r="C1454" s="291"/>
      <c r="D1454" s="291"/>
      <c r="E1454" s="291"/>
      <c r="F1454" s="320"/>
      <c r="G1454" s="291" t="s">
        <v>972</v>
      </c>
      <c r="H1454" s="291">
        <f t="shared" si="172"/>
        <v>532</v>
      </c>
      <c r="I1454" s="328">
        <v>16</v>
      </c>
      <c r="J1454" s="291"/>
      <c r="K1454" s="291"/>
      <c r="L1454" s="324" t="str">
        <f>IF(RIGHT(G1454,5)="FRAME","扩展帧CAN消息","")</f>
        <v>扩展帧CAN消息</v>
      </c>
      <c r="M1454" s="297"/>
    </row>
    <row r="1455" spans="1:13">
      <c r="A1455" s="291"/>
      <c r="B1455" s="291"/>
      <c r="C1455" s="291"/>
      <c r="D1455" s="291"/>
      <c r="E1455" s="291"/>
      <c r="F1455" s="320"/>
      <c r="G1455" s="329" t="s">
        <v>88</v>
      </c>
      <c r="H1455" s="291">
        <f t="shared" si="172"/>
        <v>548</v>
      </c>
      <c r="I1455" s="328">
        <v>4</v>
      </c>
      <c r="J1455" s="291"/>
      <c r="K1455" s="291"/>
      <c r="L1455" s="324"/>
      <c r="M1455" s="297"/>
    </row>
    <row r="1456" spans="1:13">
      <c r="A1456" s="291"/>
      <c r="B1456" s="291"/>
      <c r="C1456" s="291"/>
      <c r="D1456" s="291"/>
      <c r="E1456" s="291"/>
      <c r="F1456" s="320"/>
      <c r="G1456" s="291" t="s">
        <v>973</v>
      </c>
      <c r="H1456" s="291">
        <f t="shared" si="172"/>
        <v>552</v>
      </c>
      <c r="I1456" s="328">
        <v>16</v>
      </c>
      <c r="J1456" s="291"/>
      <c r="K1456" s="291"/>
      <c r="L1456" s="324" t="str">
        <f>IF(RIGHT(G1456,5)="FRAME","扩展帧CAN消息","")</f>
        <v>扩展帧CAN消息</v>
      </c>
      <c r="M1456" s="297"/>
    </row>
    <row r="1457" spans="1:13">
      <c r="A1457" s="291"/>
      <c r="B1457" s="291"/>
      <c r="C1457" s="291"/>
      <c r="D1457" s="291"/>
      <c r="E1457" s="291"/>
      <c r="F1457" s="320"/>
      <c r="G1457" s="291" t="s">
        <v>974</v>
      </c>
      <c r="H1457" s="291">
        <f t="shared" si="172"/>
        <v>568</v>
      </c>
      <c r="I1457" s="328">
        <v>16</v>
      </c>
      <c r="J1457" s="291"/>
      <c r="K1457" s="291"/>
      <c r="L1457" s="324" t="str">
        <f>IF(RIGHT(G1457,5)="FRAME","扩展帧CAN消息","")</f>
        <v>扩展帧CAN消息</v>
      </c>
      <c r="M1457" s="297"/>
    </row>
    <row r="1458" spans="1:13">
      <c r="A1458" s="291"/>
      <c r="B1458" s="291"/>
      <c r="C1458" s="291"/>
      <c r="D1458" s="291"/>
      <c r="E1458" s="291"/>
      <c r="F1458" s="320"/>
      <c r="G1458" s="291" t="s">
        <v>975</v>
      </c>
      <c r="H1458" s="291">
        <f t="shared" si="172"/>
        <v>584</v>
      </c>
      <c r="I1458" s="328">
        <v>16</v>
      </c>
      <c r="J1458" s="291"/>
      <c r="K1458" s="291"/>
      <c r="L1458" s="324" t="str">
        <f>IF(RIGHT(G1458,5)="FRAME","扩展帧CAN消息","")</f>
        <v>扩展帧CAN消息</v>
      </c>
      <c r="M1458" s="297"/>
    </row>
    <row r="1459" spans="1:13">
      <c r="A1459" s="291"/>
      <c r="B1459" s="291"/>
      <c r="C1459" s="291"/>
      <c r="D1459" s="291"/>
      <c r="E1459" s="291"/>
      <c r="F1459" s="320"/>
      <c r="G1459" s="291" t="s">
        <v>976</v>
      </c>
      <c r="H1459" s="291">
        <f t="shared" si="172"/>
        <v>600</v>
      </c>
      <c r="I1459" s="328">
        <v>16</v>
      </c>
      <c r="J1459" s="291"/>
      <c r="K1459" s="291"/>
      <c r="L1459" s="324" t="str">
        <f>IF(RIGHT(G1459,5)="FRAME","扩展帧CAN消息","")</f>
        <v>扩展帧CAN消息</v>
      </c>
      <c r="M1459" s="297"/>
    </row>
    <row r="1460" spans="1:13">
      <c r="A1460" s="291"/>
      <c r="B1460" s="291"/>
      <c r="C1460" s="291"/>
      <c r="D1460" s="291"/>
      <c r="E1460" s="291"/>
      <c r="F1460" s="320"/>
      <c r="G1460" s="329" t="s">
        <v>88</v>
      </c>
      <c r="H1460" s="291">
        <f t="shared" si="172"/>
        <v>616</v>
      </c>
      <c r="I1460" s="328">
        <v>4</v>
      </c>
      <c r="J1460" s="291"/>
      <c r="K1460" s="291"/>
      <c r="L1460" s="324"/>
      <c r="M1460" s="297"/>
    </row>
    <row r="1461" spans="1:13">
      <c r="A1461" s="291"/>
      <c r="B1461" s="291"/>
      <c r="C1461" s="291"/>
      <c r="D1461" s="291"/>
      <c r="E1461" s="291"/>
      <c r="F1461" s="320"/>
      <c r="G1461" s="291" t="s">
        <v>977</v>
      </c>
      <c r="H1461" s="291">
        <f t="shared" si="172"/>
        <v>620</v>
      </c>
      <c r="I1461" s="328">
        <v>16</v>
      </c>
      <c r="J1461" s="291"/>
      <c r="K1461" s="291"/>
      <c r="L1461" s="324" t="str">
        <f>IF(RIGHT(G1461,5)="FRAME","扩展帧CAN消息","")</f>
        <v>扩展帧CAN消息</v>
      </c>
      <c r="M1461" s="297"/>
    </row>
    <row r="1462" spans="1:13">
      <c r="A1462" s="291"/>
      <c r="B1462" s="291"/>
      <c r="C1462" s="291"/>
      <c r="D1462" s="291"/>
      <c r="E1462" s="291"/>
      <c r="F1462" s="320"/>
      <c r="G1462" s="291" t="s">
        <v>978</v>
      </c>
      <c r="H1462" s="291">
        <f t="shared" si="172"/>
        <v>636</v>
      </c>
      <c r="I1462" s="328">
        <v>16</v>
      </c>
      <c r="J1462" s="291"/>
      <c r="K1462" s="291"/>
      <c r="L1462" s="324" t="str">
        <f>IF(RIGHT(G1462,5)="FRAME","扩展帧CAN消息","")</f>
        <v>扩展帧CAN消息</v>
      </c>
      <c r="M1462" s="297"/>
    </row>
    <row r="1463" spans="1:13">
      <c r="A1463" s="291"/>
      <c r="B1463" s="291"/>
      <c r="C1463" s="291"/>
      <c r="D1463" s="291"/>
      <c r="E1463" s="291"/>
      <c r="F1463" s="320"/>
      <c r="G1463" s="291" t="s">
        <v>979</v>
      </c>
      <c r="H1463" s="291">
        <f t="shared" si="172"/>
        <v>652</v>
      </c>
      <c r="I1463" s="328">
        <v>16</v>
      </c>
      <c r="J1463" s="291"/>
      <c r="K1463" s="291"/>
      <c r="L1463" s="324" t="str">
        <f>IF(RIGHT(G1463,5)="FRAME","扩展帧CAN消息","")</f>
        <v>扩展帧CAN消息</v>
      </c>
      <c r="M1463" s="297"/>
    </row>
    <row r="1464" spans="1:13">
      <c r="A1464" s="291"/>
      <c r="B1464" s="291"/>
      <c r="C1464" s="291"/>
      <c r="D1464" s="291"/>
      <c r="E1464" s="291"/>
      <c r="F1464" s="320"/>
      <c r="G1464" s="291" t="s">
        <v>980</v>
      </c>
      <c r="H1464" s="291">
        <f t="shared" si="172"/>
        <v>668</v>
      </c>
      <c r="I1464" s="328">
        <v>16</v>
      </c>
      <c r="J1464" s="291"/>
      <c r="K1464" s="291"/>
      <c r="L1464" s="324" t="str">
        <f>IF(RIGHT(G1464,5)="FRAME","扩展帧CAN消息","")</f>
        <v>扩展帧CAN消息</v>
      </c>
      <c r="M1464" s="297"/>
    </row>
    <row r="1465" spans="1:13">
      <c r="A1465" s="291"/>
      <c r="B1465" s="291"/>
      <c r="C1465" s="291"/>
      <c r="D1465" s="291"/>
      <c r="E1465" s="291"/>
      <c r="F1465" s="320"/>
      <c r="G1465" s="329" t="s">
        <v>88</v>
      </c>
      <c r="H1465" s="291">
        <f t="shared" si="172"/>
        <v>684</v>
      </c>
      <c r="I1465" s="328">
        <v>4</v>
      </c>
      <c r="J1465" s="291"/>
      <c r="K1465" s="291"/>
      <c r="L1465" s="324"/>
      <c r="M1465" s="297"/>
    </row>
    <row r="1466" spans="1:13">
      <c r="A1466" s="291"/>
      <c r="B1466" s="291"/>
      <c r="C1466" s="291"/>
      <c r="D1466" s="291"/>
      <c r="E1466" s="291"/>
      <c r="F1466" s="320"/>
      <c r="G1466" s="291" t="s">
        <v>981</v>
      </c>
      <c r="H1466" s="291">
        <f t="shared" si="172"/>
        <v>688</v>
      </c>
      <c r="I1466" s="328">
        <v>16</v>
      </c>
      <c r="J1466" s="291"/>
      <c r="K1466" s="291"/>
      <c r="L1466" s="324" t="str">
        <f>IF(RIGHT(G1466,5)="FRAME","扩展帧CAN消息","")</f>
        <v>扩展帧CAN消息</v>
      </c>
      <c r="M1466" s="297"/>
    </row>
    <row r="1467" spans="1:13">
      <c r="A1467" s="291"/>
      <c r="B1467" s="291"/>
      <c r="C1467" s="291"/>
      <c r="D1467" s="291"/>
      <c r="E1467" s="291"/>
      <c r="F1467" s="320"/>
      <c r="G1467" s="291" t="s">
        <v>982</v>
      </c>
      <c r="H1467" s="291">
        <f t="shared" si="172"/>
        <v>704</v>
      </c>
      <c r="I1467" s="328">
        <v>16</v>
      </c>
      <c r="J1467" s="291"/>
      <c r="K1467" s="291"/>
      <c r="L1467" s="324" t="str">
        <f>IF(RIGHT(G1467,5)="FRAME","扩展帧CAN消息","")</f>
        <v>扩展帧CAN消息</v>
      </c>
      <c r="M1467" s="297"/>
    </row>
    <row r="1468" spans="1:13">
      <c r="A1468" s="291"/>
      <c r="B1468" s="291"/>
      <c r="C1468" s="291"/>
      <c r="D1468" s="291"/>
      <c r="E1468" s="291"/>
      <c r="F1468" s="320"/>
      <c r="G1468" s="291" t="s">
        <v>983</v>
      </c>
      <c r="H1468" s="291">
        <f t="shared" si="172"/>
        <v>720</v>
      </c>
      <c r="I1468" s="328">
        <v>16</v>
      </c>
      <c r="J1468" s="291"/>
      <c r="K1468" s="291"/>
      <c r="L1468" s="324" t="str">
        <f>IF(RIGHT(G1468,5)="FRAME","扩展帧CAN消息","")</f>
        <v>扩展帧CAN消息</v>
      </c>
      <c r="M1468" s="297"/>
    </row>
    <row r="1469" spans="1:13">
      <c r="A1469" s="291"/>
      <c r="B1469" s="291"/>
      <c r="C1469" s="291"/>
      <c r="D1469" s="291"/>
      <c r="E1469" s="291"/>
      <c r="F1469" s="320"/>
      <c r="G1469" s="291" t="s">
        <v>984</v>
      </c>
      <c r="H1469" s="291">
        <f t="shared" si="172"/>
        <v>736</v>
      </c>
      <c r="I1469" s="328">
        <v>16</v>
      </c>
      <c r="J1469" s="291"/>
      <c r="K1469" s="291"/>
      <c r="L1469" s="324" t="str">
        <f>IF(RIGHT(G1469,5)="FRAME","扩展帧CAN消息","")</f>
        <v>扩展帧CAN消息</v>
      </c>
      <c r="M1469" s="297"/>
    </row>
    <row r="1470" spans="1:13">
      <c r="A1470" s="291"/>
      <c r="B1470" s="291"/>
      <c r="C1470" s="291"/>
      <c r="D1470" s="291"/>
      <c r="E1470" s="291"/>
      <c r="F1470" s="320"/>
      <c r="G1470" s="329" t="s">
        <v>88</v>
      </c>
      <c r="H1470" s="291">
        <f t="shared" si="172"/>
        <v>752</v>
      </c>
      <c r="I1470" s="328">
        <v>4</v>
      </c>
      <c r="J1470" s="291"/>
      <c r="K1470" s="291"/>
      <c r="L1470" s="324"/>
      <c r="M1470" s="297"/>
    </row>
    <row r="1471" spans="1:13">
      <c r="A1471" s="291"/>
      <c r="B1471" s="291"/>
      <c r="C1471" s="291"/>
      <c r="D1471" s="291"/>
      <c r="E1471" s="291"/>
      <c r="F1471" s="320"/>
      <c r="G1471" s="291" t="s">
        <v>985</v>
      </c>
      <c r="H1471" s="291">
        <f t="shared" si="172"/>
        <v>756</v>
      </c>
      <c r="I1471" s="328">
        <v>16</v>
      </c>
      <c r="J1471" s="291"/>
      <c r="K1471" s="291"/>
      <c r="L1471" s="324" t="str">
        <f>IF(RIGHT(G1471,5)="FRAME","扩展帧CAN消息","")</f>
        <v>扩展帧CAN消息</v>
      </c>
      <c r="M1471" s="297"/>
    </row>
    <row r="1472" spans="1:13">
      <c r="A1472" s="291"/>
      <c r="B1472" s="291"/>
      <c r="C1472" s="291"/>
      <c r="D1472" s="291"/>
      <c r="E1472" s="291"/>
      <c r="F1472" s="320"/>
      <c r="G1472" s="291" t="s">
        <v>986</v>
      </c>
      <c r="H1472" s="291">
        <f t="shared" si="172"/>
        <v>772</v>
      </c>
      <c r="I1472" s="328">
        <v>16</v>
      </c>
      <c r="J1472" s="291"/>
      <c r="K1472" s="291"/>
      <c r="L1472" s="324" t="str">
        <f>IF(RIGHT(G1472,5)="FRAME","扩展帧CAN消息","")</f>
        <v>扩展帧CAN消息</v>
      </c>
      <c r="M1472" s="297"/>
    </row>
    <row r="1473" spans="1:13">
      <c r="A1473" s="291"/>
      <c r="B1473" s="291"/>
      <c r="C1473" s="291"/>
      <c r="D1473" s="291"/>
      <c r="E1473" s="291"/>
      <c r="F1473" s="320"/>
      <c r="G1473" s="291" t="s">
        <v>987</v>
      </c>
      <c r="H1473" s="291">
        <f t="shared" si="172"/>
        <v>788</v>
      </c>
      <c r="I1473" s="328">
        <v>16</v>
      </c>
      <c r="J1473" s="291"/>
      <c r="K1473" s="291"/>
      <c r="L1473" s="324" t="str">
        <f>IF(RIGHT(G1473,5)="FRAME","扩展帧CAN消息","")</f>
        <v>扩展帧CAN消息</v>
      </c>
      <c r="M1473" s="297"/>
    </row>
    <row r="1474" spans="1:13">
      <c r="A1474" s="291"/>
      <c r="B1474" s="291"/>
      <c r="C1474" s="291"/>
      <c r="D1474" s="291"/>
      <c r="E1474" s="291"/>
      <c r="F1474" s="320"/>
      <c r="G1474" s="291" t="s">
        <v>988</v>
      </c>
      <c r="H1474" s="291">
        <f t="shared" si="172"/>
        <v>804</v>
      </c>
      <c r="I1474" s="328">
        <v>16</v>
      </c>
      <c r="J1474" s="291"/>
      <c r="K1474" s="291"/>
      <c r="L1474" s="324" t="str">
        <f>IF(RIGHT(G1474,5)="FRAME","扩展帧CAN消息","")</f>
        <v>扩展帧CAN消息</v>
      </c>
      <c r="M1474" s="297"/>
    </row>
    <row r="1475" spans="1:13">
      <c r="A1475" s="291"/>
      <c r="B1475" s="291"/>
      <c r="C1475" s="291"/>
      <c r="D1475" s="291"/>
      <c r="E1475" s="291"/>
      <c r="F1475" s="320"/>
      <c r="G1475" s="329" t="s">
        <v>88</v>
      </c>
      <c r="H1475" s="291">
        <f t="shared" si="172"/>
        <v>820</v>
      </c>
      <c r="I1475" s="328">
        <v>4</v>
      </c>
      <c r="J1475" s="291"/>
      <c r="K1475" s="291"/>
      <c r="L1475" s="324"/>
      <c r="M1475" s="297"/>
    </row>
    <row r="1476" spans="1:13">
      <c r="A1476" s="291"/>
      <c r="B1476" s="291"/>
      <c r="C1476" s="291"/>
      <c r="D1476" s="291"/>
      <c r="E1476" s="291"/>
      <c r="F1476" s="320"/>
      <c r="G1476" s="291" t="s">
        <v>989</v>
      </c>
      <c r="H1476" s="291">
        <f t="shared" si="172"/>
        <v>824</v>
      </c>
      <c r="I1476" s="328">
        <v>16</v>
      </c>
      <c r="J1476" s="291"/>
      <c r="K1476" s="291"/>
      <c r="L1476" s="324" t="str">
        <f>IF(RIGHT(G1476,5)="FRAME","扩展帧CAN消息","")</f>
        <v>扩展帧CAN消息</v>
      </c>
      <c r="M1476" s="297"/>
    </row>
    <row r="1477" spans="1:13">
      <c r="A1477" s="291"/>
      <c r="B1477" s="291"/>
      <c r="C1477" s="291"/>
      <c r="D1477" s="291"/>
      <c r="E1477" s="291"/>
      <c r="F1477" s="320"/>
      <c r="G1477" s="291" t="s">
        <v>990</v>
      </c>
      <c r="H1477" s="291">
        <f t="shared" si="172"/>
        <v>840</v>
      </c>
      <c r="I1477" s="328">
        <v>16</v>
      </c>
      <c r="J1477" s="291"/>
      <c r="K1477" s="291"/>
      <c r="L1477" s="324" t="str">
        <f>IF(RIGHT(G1477,5)="FRAME","扩展帧CAN消息","")</f>
        <v>扩展帧CAN消息</v>
      </c>
      <c r="M1477" s="297"/>
    </row>
    <row r="1478" spans="1:13">
      <c r="A1478" s="291"/>
      <c r="B1478" s="291"/>
      <c r="C1478" s="291"/>
      <c r="D1478" s="291"/>
      <c r="E1478" s="291"/>
      <c r="F1478" s="320"/>
      <c r="G1478" s="291" t="s">
        <v>991</v>
      </c>
      <c r="H1478" s="291">
        <f t="shared" si="172"/>
        <v>856</v>
      </c>
      <c r="I1478" s="328">
        <v>4</v>
      </c>
      <c r="J1478" s="291"/>
      <c r="K1478" s="291"/>
      <c r="L1478" s="324" t="str">
        <f>IF(RIGHT(G1478,5)="FRAME","扩展帧CAN消息","")</f>
        <v>扩展帧CAN消息</v>
      </c>
      <c r="M1478" s="297"/>
    </row>
    <row r="1479" spans="1:13">
      <c r="A1479" s="291"/>
      <c r="B1479" s="291"/>
      <c r="C1479" s="291"/>
      <c r="D1479" s="291"/>
      <c r="E1479" s="291"/>
      <c r="F1479" s="320"/>
      <c r="G1479" s="291" t="s">
        <v>992</v>
      </c>
      <c r="H1479" s="291">
        <f t="shared" si="172"/>
        <v>860</v>
      </c>
      <c r="I1479" s="328">
        <v>16</v>
      </c>
      <c r="J1479" s="291"/>
      <c r="K1479" s="291"/>
      <c r="L1479" s="324" t="str">
        <f>IF(RIGHT(G1479,5)="FRAME","扩展帧CAN消息","")</f>
        <v>扩展帧CAN消息</v>
      </c>
      <c r="M1479" s="297"/>
    </row>
    <row r="1480" spans="1:13">
      <c r="A1480" s="291"/>
      <c r="B1480" s="291"/>
      <c r="C1480" s="291"/>
      <c r="D1480" s="291"/>
      <c r="E1480" s="291"/>
      <c r="F1480" s="320"/>
      <c r="G1480" s="329" t="s">
        <v>88</v>
      </c>
      <c r="H1480" s="291">
        <f t="shared" si="172"/>
        <v>876</v>
      </c>
      <c r="I1480" s="328">
        <v>4</v>
      </c>
      <c r="J1480" s="291"/>
      <c r="K1480" s="291"/>
      <c r="L1480" s="324"/>
      <c r="M1480" s="297"/>
    </row>
    <row r="1481" spans="1:13">
      <c r="A1481" s="291"/>
      <c r="B1481" s="291"/>
      <c r="C1481" s="291"/>
      <c r="D1481" s="291"/>
      <c r="E1481" s="291"/>
      <c r="F1481" s="320"/>
      <c r="G1481" s="291" t="s">
        <v>993</v>
      </c>
      <c r="H1481" s="291">
        <f t="shared" si="172"/>
        <v>880</v>
      </c>
      <c r="I1481" s="328">
        <v>16</v>
      </c>
      <c r="J1481" s="291"/>
      <c r="K1481" s="291"/>
      <c r="L1481" s="324" t="str">
        <f t="shared" ref="L1481:L1494" si="173">IF(RIGHT(G1481,5)="FRAME","扩展帧CAN消息","")</f>
        <v>扩展帧CAN消息</v>
      </c>
      <c r="M1481" s="297"/>
    </row>
    <row r="1482" spans="1:13">
      <c r="A1482" s="291"/>
      <c r="B1482" s="291"/>
      <c r="C1482" s="291"/>
      <c r="D1482" s="291"/>
      <c r="E1482" s="291"/>
      <c r="F1482" s="320"/>
      <c r="G1482" s="291" t="s">
        <v>994</v>
      </c>
      <c r="H1482" s="291">
        <f t="shared" si="172"/>
        <v>896</v>
      </c>
      <c r="I1482" s="328">
        <v>16</v>
      </c>
      <c r="J1482" s="291"/>
      <c r="K1482" s="291"/>
      <c r="L1482" s="324" t="str">
        <f t="shared" si="173"/>
        <v>扩展帧CAN消息</v>
      </c>
      <c r="M1482" s="297"/>
    </row>
    <row r="1483" spans="1:13">
      <c r="A1483" s="291"/>
      <c r="B1483" s="291"/>
      <c r="C1483" s="291"/>
      <c r="D1483" s="291"/>
      <c r="E1483" s="291"/>
      <c r="F1483" s="320"/>
      <c r="G1483" s="291" t="s">
        <v>995</v>
      </c>
      <c r="H1483" s="291">
        <f t="shared" si="172"/>
        <v>912</v>
      </c>
      <c r="I1483" s="328">
        <v>16</v>
      </c>
      <c r="J1483" s="291"/>
      <c r="K1483" s="291"/>
      <c r="L1483" s="324" t="str">
        <f t="shared" si="173"/>
        <v>扩展帧CAN消息</v>
      </c>
      <c r="M1483" s="297"/>
    </row>
    <row r="1484" spans="1:13">
      <c r="A1484" s="291"/>
      <c r="B1484" s="291"/>
      <c r="C1484" s="291"/>
      <c r="D1484" s="291"/>
      <c r="E1484" s="291"/>
      <c r="F1484" s="320"/>
      <c r="G1484" s="291" t="s">
        <v>996</v>
      </c>
      <c r="H1484" s="291">
        <f t="shared" si="172"/>
        <v>928</v>
      </c>
      <c r="I1484" s="328">
        <v>16</v>
      </c>
      <c r="J1484" s="291"/>
      <c r="K1484" s="291"/>
      <c r="L1484" s="324" t="str">
        <f t="shared" si="173"/>
        <v>扩展帧CAN消息</v>
      </c>
      <c r="M1484" s="330"/>
    </row>
    <row r="1485" spans="1:13">
      <c r="A1485" s="331" t="s">
        <v>997</v>
      </c>
      <c r="B1485" s="331" t="s">
        <v>998</v>
      </c>
      <c r="C1485" s="331" t="s">
        <v>877</v>
      </c>
      <c r="D1485" s="331" t="s">
        <v>118</v>
      </c>
      <c r="E1485" s="331">
        <v>7042</v>
      </c>
      <c r="F1485" s="331" t="s">
        <v>86</v>
      </c>
      <c r="G1485" s="291" t="s">
        <v>134</v>
      </c>
      <c r="H1485" s="291">
        <v>0</v>
      </c>
      <c r="I1485" s="291">
        <v>4</v>
      </c>
      <c r="J1485" s="297" t="s">
        <v>97</v>
      </c>
      <c r="K1485" s="297">
        <v>1000</v>
      </c>
      <c r="L1485" s="324" t="str">
        <f t="shared" si="173"/>
        <v/>
      </c>
      <c r="M1485" s="332">
        <v>1402201</v>
      </c>
    </row>
    <row r="1486" spans="1:13">
      <c r="A1486" s="331"/>
      <c r="B1486" s="331"/>
      <c r="C1486" s="331"/>
      <c r="D1486" s="331"/>
      <c r="E1486" s="331"/>
      <c r="F1486" s="331"/>
      <c r="G1486" s="291" t="s">
        <v>120</v>
      </c>
      <c r="H1486" s="291">
        <f t="shared" ref="H1486:H1492" si="174">H1485+I1485</f>
        <v>4</v>
      </c>
      <c r="I1486" s="291">
        <v>4</v>
      </c>
      <c r="J1486" s="297"/>
      <c r="K1486" s="297"/>
      <c r="L1486" s="324" t="str">
        <f t="shared" si="173"/>
        <v/>
      </c>
      <c r="M1486" s="333"/>
    </row>
    <row r="1487" spans="1:13">
      <c r="A1487" s="331"/>
      <c r="B1487" s="331"/>
      <c r="C1487" s="331"/>
      <c r="D1487" s="331"/>
      <c r="E1487" s="331"/>
      <c r="F1487" s="331"/>
      <c r="G1487" s="320" t="s">
        <v>999</v>
      </c>
      <c r="H1487" s="291">
        <f t="shared" si="174"/>
        <v>8</v>
      </c>
      <c r="I1487" s="291">
        <v>16</v>
      </c>
      <c r="J1487" s="297"/>
      <c r="K1487" s="297"/>
      <c r="L1487" s="324" t="str">
        <f t="shared" si="173"/>
        <v>扩展帧CAN消息</v>
      </c>
      <c r="M1487" s="333"/>
    </row>
    <row r="1488" spans="1:13">
      <c r="A1488" s="331"/>
      <c r="B1488" s="331"/>
      <c r="C1488" s="331"/>
      <c r="D1488" s="331"/>
      <c r="E1488" s="331"/>
      <c r="F1488" s="331"/>
      <c r="G1488" s="320" t="s">
        <v>1000</v>
      </c>
      <c r="H1488" s="291">
        <f t="shared" si="174"/>
        <v>24</v>
      </c>
      <c r="I1488" s="291">
        <v>16</v>
      </c>
      <c r="J1488" s="297"/>
      <c r="K1488" s="297"/>
      <c r="L1488" s="324" t="str">
        <f t="shared" si="173"/>
        <v>扩展帧CAN消息</v>
      </c>
      <c r="M1488" s="333"/>
    </row>
    <row r="1489" spans="1:13">
      <c r="A1489" s="331"/>
      <c r="B1489" s="331"/>
      <c r="C1489" s="331"/>
      <c r="D1489" s="331"/>
      <c r="E1489" s="331"/>
      <c r="F1489" s="331"/>
      <c r="G1489" s="320" t="s">
        <v>1001</v>
      </c>
      <c r="H1489" s="291">
        <f t="shared" si="174"/>
        <v>40</v>
      </c>
      <c r="I1489" s="291">
        <v>16</v>
      </c>
      <c r="J1489" s="297"/>
      <c r="K1489" s="297"/>
      <c r="L1489" s="324" t="str">
        <f t="shared" si="173"/>
        <v>扩展帧CAN消息</v>
      </c>
      <c r="M1489" s="333"/>
    </row>
    <row r="1490" spans="1:13">
      <c r="A1490" s="331"/>
      <c r="B1490" s="331"/>
      <c r="C1490" s="331"/>
      <c r="D1490" s="331"/>
      <c r="E1490" s="331"/>
      <c r="F1490" s="331"/>
      <c r="G1490" s="320" t="s">
        <v>1002</v>
      </c>
      <c r="H1490" s="291">
        <f t="shared" si="174"/>
        <v>56</v>
      </c>
      <c r="I1490" s="291">
        <v>16</v>
      </c>
      <c r="J1490" s="297"/>
      <c r="K1490" s="297"/>
      <c r="L1490" s="324" t="str">
        <f t="shared" si="173"/>
        <v>扩展帧CAN消息</v>
      </c>
      <c r="M1490" s="333"/>
    </row>
    <row r="1491" spans="1:13">
      <c r="A1491" s="331"/>
      <c r="B1491" s="331"/>
      <c r="C1491" s="331"/>
      <c r="D1491" s="331"/>
      <c r="E1491" s="331"/>
      <c r="F1491" s="331"/>
      <c r="G1491" s="320" t="s">
        <v>88</v>
      </c>
      <c r="H1491" s="291">
        <f t="shared" si="174"/>
        <v>72</v>
      </c>
      <c r="I1491" s="291">
        <v>4</v>
      </c>
      <c r="J1491" s="297"/>
      <c r="K1491" s="297"/>
      <c r="L1491" s="324" t="str">
        <f t="shared" si="173"/>
        <v/>
      </c>
      <c r="M1491" s="333"/>
    </row>
    <row r="1492" spans="1:13">
      <c r="A1492" s="331"/>
      <c r="B1492" s="331"/>
      <c r="C1492" s="331"/>
      <c r="D1492" s="331"/>
      <c r="E1492" s="331"/>
      <c r="F1492" s="331"/>
      <c r="G1492" s="320" t="s">
        <v>1003</v>
      </c>
      <c r="H1492" s="291">
        <f t="shared" si="174"/>
        <v>76</v>
      </c>
      <c r="I1492" s="291">
        <v>16</v>
      </c>
      <c r="J1492" s="297"/>
      <c r="K1492" s="297"/>
      <c r="L1492" s="324" t="str">
        <f t="shared" si="173"/>
        <v>扩展帧CAN消息</v>
      </c>
      <c r="M1492" s="333"/>
    </row>
    <row r="1493" spans="1:13">
      <c r="A1493" s="331"/>
      <c r="B1493" s="331"/>
      <c r="C1493" s="331"/>
      <c r="D1493" s="331"/>
      <c r="E1493" s="331"/>
      <c r="F1493" s="331"/>
      <c r="G1493" s="291" t="s">
        <v>1004</v>
      </c>
      <c r="H1493" s="291">
        <f t="shared" ref="H1493:H1524" si="175">H1492+I1492</f>
        <v>92</v>
      </c>
      <c r="I1493" s="291">
        <v>16</v>
      </c>
      <c r="J1493" s="297"/>
      <c r="K1493" s="297"/>
      <c r="L1493" s="324" t="str">
        <f t="shared" si="173"/>
        <v>扩展帧CAN消息</v>
      </c>
      <c r="M1493" s="333"/>
    </row>
    <row r="1494" spans="1:13">
      <c r="A1494" s="331"/>
      <c r="B1494" s="331"/>
      <c r="C1494" s="331"/>
      <c r="D1494" s="331"/>
      <c r="E1494" s="331"/>
      <c r="F1494" s="331"/>
      <c r="G1494" s="291" t="s">
        <v>1005</v>
      </c>
      <c r="H1494" s="291">
        <f t="shared" si="175"/>
        <v>108</v>
      </c>
      <c r="I1494" s="291">
        <v>16</v>
      </c>
      <c r="J1494" s="297"/>
      <c r="K1494" s="297"/>
      <c r="L1494" s="324" t="str">
        <f t="shared" si="173"/>
        <v>扩展帧CAN消息</v>
      </c>
      <c r="M1494" s="333"/>
    </row>
    <row r="1495" spans="1:13">
      <c r="A1495" s="331"/>
      <c r="B1495" s="331"/>
      <c r="C1495" s="331"/>
      <c r="D1495" s="331"/>
      <c r="E1495" s="331"/>
      <c r="F1495" s="331"/>
      <c r="G1495" s="291" t="s">
        <v>1006</v>
      </c>
      <c r="H1495" s="291">
        <f t="shared" si="175"/>
        <v>124</v>
      </c>
      <c r="I1495" s="291">
        <v>16</v>
      </c>
      <c r="J1495" s="297"/>
      <c r="K1495" s="297"/>
      <c r="L1495" s="324"/>
      <c r="M1495" s="333"/>
    </row>
    <row r="1496" spans="1:13">
      <c r="A1496" s="331"/>
      <c r="B1496" s="331"/>
      <c r="C1496" s="331"/>
      <c r="D1496" s="331"/>
      <c r="E1496" s="331"/>
      <c r="F1496" s="331"/>
      <c r="G1496" s="291" t="s">
        <v>88</v>
      </c>
      <c r="H1496" s="291">
        <f t="shared" si="175"/>
        <v>140</v>
      </c>
      <c r="I1496" s="291">
        <v>4</v>
      </c>
      <c r="J1496" s="297"/>
      <c r="K1496" s="297"/>
      <c r="L1496" s="324" t="str">
        <f>IF(RIGHT(G1496,5)="FRAME","扩展帧CAN消息","")</f>
        <v/>
      </c>
      <c r="M1496" s="333"/>
    </row>
    <row r="1497" spans="1:13">
      <c r="A1497" s="331"/>
      <c r="B1497" s="331"/>
      <c r="C1497" s="331"/>
      <c r="D1497" s="331"/>
      <c r="E1497" s="331"/>
      <c r="F1497" s="331"/>
      <c r="G1497" s="291" t="s">
        <v>1007</v>
      </c>
      <c r="H1497" s="291">
        <f t="shared" si="175"/>
        <v>144</v>
      </c>
      <c r="I1497" s="291">
        <v>16</v>
      </c>
      <c r="J1497" s="297"/>
      <c r="K1497" s="297"/>
      <c r="L1497" s="324" t="str">
        <f>IF(RIGHT(G1497,5)="FRAME","扩展帧CAN消息","")</f>
        <v>扩展帧CAN消息</v>
      </c>
      <c r="M1497" s="333"/>
    </row>
    <row r="1498" spans="1:13">
      <c r="A1498" s="331"/>
      <c r="B1498" s="331"/>
      <c r="C1498" s="331"/>
      <c r="D1498" s="331"/>
      <c r="E1498" s="331"/>
      <c r="F1498" s="331"/>
      <c r="G1498" s="291" t="s">
        <v>1008</v>
      </c>
      <c r="H1498" s="291">
        <f t="shared" si="175"/>
        <v>160</v>
      </c>
      <c r="I1498" s="291">
        <v>16</v>
      </c>
      <c r="J1498" s="297"/>
      <c r="K1498" s="297"/>
      <c r="L1498" s="324" t="str">
        <f>IF(RIGHT(G1498,5)="FRAME","扩展帧CAN消息","")</f>
        <v>扩展帧CAN消息</v>
      </c>
      <c r="M1498" s="333"/>
    </row>
    <row r="1499" spans="1:13">
      <c r="A1499" s="331"/>
      <c r="B1499" s="331"/>
      <c r="C1499" s="331"/>
      <c r="D1499" s="331"/>
      <c r="E1499" s="331"/>
      <c r="F1499" s="331"/>
      <c r="G1499" s="291" t="s">
        <v>1009</v>
      </c>
      <c r="H1499" s="291">
        <f t="shared" si="175"/>
        <v>176</v>
      </c>
      <c r="I1499" s="291">
        <v>16</v>
      </c>
      <c r="J1499" s="297"/>
      <c r="K1499" s="297"/>
      <c r="L1499" s="324" t="str">
        <f>IF(RIGHT(G1499,5)="FRAME","扩展帧CAN消息","")</f>
        <v>扩展帧CAN消息</v>
      </c>
      <c r="M1499" s="333"/>
    </row>
    <row r="1500" spans="1:13">
      <c r="A1500" s="331"/>
      <c r="B1500" s="331"/>
      <c r="C1500" s="331"/>
      <c r="D1500" s="331"/>
      <c r="E1500" s="331"/>
      <c r="F1500" s="331"/>
      <c r="G1500" s="291" t="s">
        <v>1010</v>
      </c>
      <c r="H1500" s="291">
        <f t="shared" si="175"/>
        <v>192</v>
      </c>
      <c r="I1500" s="291">
        <v>16</v>
      </c>
      <c r="J1500" s="297"/>
      <c r="K1500" s="297"/>
      <c r="L1500" s="324" t="str">
        <f>IF(RIGHT(G1500,5)="FRAME","扩展帧CAN消息","")</f>
        <v>扩展帧CAN消息</v>
      </c>
      <c r="M1500" s="333"/>
    </row>
    <row r="1501" spans="1:13">
      <c r="A1501" s="331"/>
      <c r="B1501" s="331"/>
      <c r="C1501" s="331"/>
      <c r="D1501" s="331"/>
      <c r="E1501" s="331"/>
      <c r="F1501" s="331"/>
      <c r="G1501" s="291" t="s">
        <v>120</v>
      </c>
      <c r="H1501" s="291">
        <f t="shared" si="175"/>
        <v>208</v>
      </c>
      <c r="I1501" s="291">
        <v>4</v>
      </c>
      <c r="J1501" s="297"/>
      <c r="K1501" s="297"/>
      <c r="L1501" s="324"/>
      <c r="M1501" s="333"/>
    </row>
    <row r="1502" spans="1:13">
      <c r="A1502" s="331"/>
      <c r="B1502" s="331"/>
      <c r="C1502" s="331"/>
      <c r="D1502" s="331"/>
      <c r="E1502" s="331"/>
      <c r="F1502" s="331"/>
      <c r="G1502" s="291" t="s">
        <v>1011</v>
      </c>
      <c r="H1502" s="291">
        <f t="shared" si="175"/>
        <v>212</v>
      </c>
      <c r="I1502" s="291">
        <v>16</v>
      </c>
      <c r="J1502" s="297"/>
      <c r="K1502" s="297"/>
      <c r="L1502" s="324" t="str">
        <f>IF(RIGHT(G1502,5)="FRAME","扩展帧CAN消息","")</f>
        <v>扩展帧CAN消息</v>
      </c>
      <c r="M1502" s="333"/>
    </row>
    <row r="1503" spans="1:13">
      <c r="A1503" s="331"/>
      <c r="B1503" s="331"/>
      <c r="C1503" s="331"/>
      <c r="D1503" s="331"/>
      <c r="E1503" s="331"/>
      <c r="F1503" s="331"/>
      <c r="G1503" s="291" t="s">
        <v>1012</v>
      </c>
      <c r="H1503" s="291">
        <f t="shared" si="175"/>
        <v>228</v>
      </c>
      <c r="I1503" s="291">
        <v>16</v>
      </c>
      <c r="J1503" s="297"/>
      <c r="K1503" s="297"/>
      <c r="L1503" s="324" t="str">
        <f>IF(RIGHT(G1503,5)="FRAME","扩展帧CAN消息","")</f>
        <v>扩展帧CAN消息</v>
      </c>
      <c r="M1503" s="333"/>
    </row>
    <row r="1504" spans="1:13">
      <c r="A1504" s="331"/>
      <c r="B1504" s="331"/>
      <c r="C1504" s="331"/>
      <c r="D1504" s="331"/>
      <c r="E1504" s="331"/>
      <c r="F1504" s="331"/>
      <c r="G1504" s="291" t="s">
        <v>1013</v>
      </c>
      <c r="H1504" s="291">
        <f t="shared" si="175"/>
        <v>244</v>
      </c>
      <c r="I1504" s="291">
        <v>16</v>
      </c>
      <c r="J1504" s="297"/>
      <c r="K1504" s="297"/>
      <c r="L1504" s="324" t="str">
        <f>IF(RIGHT(G1504,5)="FRAME","扩展帧CAN消息","")</f>
        <v>扩展帧CAN消息</v>
      </c>
      <c r="M1504" s="333"/>
    </row>
    <row r="1505" spans="1:13">
      <c r="A1505" s="331"/>
      <c r="B1505" s="331"/>
      <c r="C1505" s="331"/>
      <c r="D1505" s="331"/>
      <c r="E1505" s="331"/>
      <c r="F1505" s="331"/>
      <c r="G1505" s="291" t="s">
        <v>1014</v>
      </c>
      <c r="H1505" s="291">
        <f t="shared" si="175"/>
        <v>260</v>
      </c>
      <c r="I1505" s="291">
        <v>16</v>
      </c>
      <c r="J1505" s="297"/>
      <c r="K1505" s="297"/>
      <c r="L1505" s="324" t="str">
        <f>IF(RIGHT(G1505,5)="FRAME","扩展帧CAN消息","")</f>
        <v>扩展帧CAN消息</v>
      </c>
      <c r="M1505" s="333"/>
    </row>
    <row r="1506" spans="1:13">
      <c r="A1506" s="331"/>
      <c r="B1506" s="331"/>
      <c r="C1506" s="331"/>
      <c r="D1506" s="331"/>
      <c r="E1506" s="331"/>
      <c r="F1506" s="331"/>
      <c r="G1506" s="291" t="s">
        <v>120</v>
      </c>
      <c r="H1506" s="291">
        <f t="shared" si="175"/>
        <v>276</v>
      </c>
      <c r="I1506" s="291">
        <v>4</v>
      </c>
      <c r="J1506" s="297"/>
      <c r="K1506" s="297"/>
      <c r="L1506" s="324"/>
      <c r="M1506" s="333"/>
    </row>
    <row r="1507" spans="1:13">
      <c r="A1507" s="331"/>
      <c r="B1507" s="331"/>
      <c r="C1507" s="331"/>
      <c r="D1507" s="331"/>
      <c r="E1507" s="331"/>
      <c r="F1507" s="331"/>
      <c r="G1507" s="291" t="s">
        <v>1015</v>
      </c>
      <c r="H1507" s="291">
        <f t="shared" si="175"/>
        <v>280</v>
      </c>
      <c r="I1507" s="291">
        <v>16</v>
      </c>
      <c r="J1507" s="297"/>
      <c r="K1507" s="297"/>
      <c r="L1507" s="324" t="str">
        <f>IF(RIGHT(G1507,5)="FRAME","扩展帧CAN消息","")</f>
        <v>扩展帧CAN消息</v>
      </c>
      <c r="M1507" s="333"/>
    </row>
    <row r="1508" spans="1:13">
      <c r="A1508" s="331"/>
      <c r="B1508" s="331"/>
      <c r="C1508" s="331"/>
      <c r="D1508" s="331"/>
      <c r="E1508" s="331"/>
      <c r="F1508" s="331"/>
      <c r="G1508" s="291" t="s">
        <v>1016</v>
      </c>
      <c r="H1508" s="291">
        <f t="shared" si="175"/>
        <v>296</v>
      </c>
      <c r="I1508" s="291">
        <v>16</v>
      </c>
      <c r="J1508" s="297"/>
      <c r="K1508" s="297"/>
      <c r="L1508" s="324" t="str">
        <f>IF(RIGHT(G1508,5)="FRAME","扩展帧CAN消息","")</f>
        <v>扩展帧CAN消息</v>
      </c>
      <c r="M1508" s="333"/>
    </row>
    <row r="1509" spans="1:13">
      <c r="A1509" s="331"/>
      <c r="B1509" s="331"/>
      <c r="C1509" s="331"/>
      <c r="D1509" s="331"/>
      <c r="E1509" s="331"/>
      <c r="F1509" s="331"/>
      <c r="G1509" s="291" t="s">
        <v>1017</v>
      </c>
      <c r="H1509" s="291">
        <f t="shared" si="175"/>
        <v>312</v>
      </c>
      <c r="I1509" s="291">
        <v>16</v>
      </c>
      <c r="J1509" s="297"/>
      <c r="K1509" s="297"/>
      <c r="L1509" s="324" t="str">
        <f>IF(RIGHT(G1509,5)="FRAME","扩展帧CAN消息","")</f>
        <v>扩展帧CAN消息</v>
      </c>
      <c r="M1509" s="333"/>
    </row>
    <row r="1510" spans="1:13">
      <c r="A1510" s="331"/>
      <c r="B1510" s="331"/>
      <c r="C1510" s="331"/>
      <c r="D1510" s="331"/>
      <c r="E1510" s="331"/>
      <c r="F1510" s="331"/>
      <c r="G1510" s="334" t="s">
        <v>1018</v>
      </c>
      <c r="H1510" s="291">
        <f t="shared" si="175"/>
        <v>328</v>
      </c>
      <c r="I1510" s="291">
        <v>16</v>
      </c>
      <c r="J1510" s="297"/>
      <c r="K1510" s="297"/>
      <c r="L1510" s="324" t="str">
        <f>IF(RIGHT(G1510,5)="FRAME","扩展帧CAN消息","")</f>
        <v>扩展帧CAN消息</v>
      </c>
      <c r="M1510" s="333"/>
    </row>
    <row r="1511" spans="1:13">
      <c r="A1511" s="331"/>
      <c r="B1511" s="331"/>
      <c r="C1511" s="331"/>
      <c r="D1511" s="331"/>
      <c r="E1511" s="331"/>
      <c r="F1511" s="331"/>
      <c r="G1511" s="291" t="s">
        <v>120</v>
      </c>
      <c r="H1511" s="291">
        <f t="shared" si="175"/>
        <v>344</v>
      </c>
      <c r="I1511" s="291">
        <v>4</v>
      </c>
      <c r="J1511" s="297"/>
      <c r="K1511" s="297"/>
      <c r="L1511" s="324"/>
      <c r="M1511" s="333"/>
    </row>
    <row r="1512" spans="1:13">
      <c r="A1512" s="331"/>
      <c r="B1512" s="331"/>
      <c r="C1512" s="331"/>
      <c r="D1512" s="331"/>
      <c r="E1512" s="331"/>
      <c r="F1512" s="331"/>
      <c r="G1512" s="334" t="s">
        <v>1019</v>
      </c>
      <c r="H1512" s="291">
        <f t="shared" si="175"/>
        <v>348</v>
      </c>
      <c r="I1512" s="291">
        <v>16</v>
      </c>
      <c r="J1512" s="297"/>
      <c r="K1512" s="297"/>
      <c r="L1512" s="324" t="str">
        <f>IF(RIGHT(G1512,5)="FRAME","扩展帧CAN消息","")</f>
        <v>扩展帧CAN消息</v>
      </c>
      <c r="M1512" s="333"/>
    </row>
    <row r="1513" spans="1:13">
      <c r="A1513" s="331"/>
      <c r="B1513" s="331"/>
      <c r="C1513" s="331"/>
      <c r="D1513" s="331"/>
      <c r="E1513" s="331"/>
      <c r="F1513" s="331"/>
      <c r="G1513" s="320" t="s">
        <v>1020</v>
      </c>
      <c r="H1513" s="291">
        <f t="shared" si="175"/>
        <v>364</v>
      </c>
      <c r="I1513" s="291">
        <v>16</v>
      </c>
      <c r="J1513" s="297"/>
      <c r="K1513" s="297"/>
      <c r="L1513" s="324" t="str">
        <f>IF(RIGHT(G1513,5)="FRAME","扩展帧CAN消息","")</f>
        <v>扩展帧CAN消息</v>
      </c>
      <c r="M1513" s="333"/>
    </row>
    <row r="1514" spans="1:13">
      <c r="A1514" s="331"/>
      <c r="B1514" s="331"/>
      <c r="C1514" s="331"/>
      <c r="D1514" s="331"/>
      <c r="E1514" s="331"/>
      <c r="F1514" s="331"/>
      <c r="G1514" s="291" t="s">
        <v>1021</v>
      </c>
      <c r="H1514" s="291">
        <f t="shared" si="175"/>
        <v>380</v>
      </c>
      <c r="I1514" s="291">
        <v>16</v>
      </c>
      <c r="J1514" s="297"/>
      <c r="K1514" s="297"/>
      <c r="L1514" s="324" t="str">
        <f>IF(RIGHT(G1514,5)="FRAME","扩展帧CAN消息","")</f>
        <v>扩展帧CAN消息</v>
      </c>
      <c r="M1514" s="333"/>
    </row>
    <row r="1515" spans="1:13">
      <c r="A1515" s="331"/>
      <c r="B1515" s="331"/>
      <c r="C1515" s="331"/>
      <c r="D1515" s="331"/>
      <c r="E1515" s="331"/>
      <c r="F1515" s="331"/>
      <c r="G1515" s="291" t="s">
        <v>1022</v>
      </c>
      <c r="H1515" s="291">
        <f t="shared" si="175"/>
        <v>396</v>
      </c>
      <c r="I1515" s="291">
        <v>16</v>
      </c>
      <c r="J1515" s="297"/>
      <c r="K1515" s="297"/>
      <c r="L1515" s="324" t="str">
        <f>IF(RIGHT(G1515,5)="FRAME","扩展帧CAN消息","")</f>
        <v>扩展帧CAN消息</v>
      </c>
      <c r="M1515" s="333"/>
    </row>
    <row r="1516" spans="1:13">
      <c r="A1516" s="331"/>
      <c r="B1516" s="331"/>
      <c r="C1516" s="331"/>
      <c r="D1516" s="331"/>
      <c r="E1516" s="331"/>
      <c r="F1516" s="331"/>
      <c r="G1516" s="320" t="s">
        <v>120</v>
      </c>
      <c r="H1516" s="291">
        <f t="shared" si="175"/>
        <v>412</v>
      </c>
      <c r="I1516" s="291">
        <v>4</v>
      </c>
      <c r="J1516" s="297"/>
      <c r="K1516" s="297"/>
      <c r="L1516" s="324"/>
      <c r="M1516" s="333"/>
    </row>
    <row r="1517" spans="1:13">
      <c r="A1517" s="331"/>
      <c r="B1517" s="331"/>
      <c r="C1517" s="331"/>
      <c r="D1517" s="331"/>
      <c r="E1517" s="331"/>
      <c r="F1517" s="331"/>
      <c r="G1517" s="291" t="s">
        <v>1023</v>
      </c>
      <c r="H1517" s="291">
        <f t="shared" si="175"/>
        <v>416</v>
      </c>
      <c r="I1517" s="291">
        <v>16</v>
      </c>
      <c r="J1517" s="297"/>
      <c r="K1517" s="297"/>
      <c r="L1517" s="324" t="str">
        <f>IF(RIGHT(G1517,5)="FRAME","扩展帧CAN消息","")</f>
        <v>扩展帧CAN消息</v>
      </c>
      <c r="M1517" s="333"/>
    </row>
    <row r="1518" spans="1:13">
      <c r="A1518" s="331"/>
      <c r="B1518" s="331"/>
      <c r="C1518" s="331"/>
      <c r="D1518" s="331"/>
      <c r="E1518" s="331"/>
      <c r="F1518" s="331"/>
      <c r="G1518" s="291" t="s">
        <v>1024</v>
      </c>
      <c r="H1518" s="291">
        <f t="shared" si="175"/>
        <v>432</v>
      </c>
      <c r="I1518" s="291">
        <v>16</v>
      </c>
      <c r="J1518" s="297"/>
      <c r="K1518" s="297"/>
      <c r="L1518" s="324" t="str">
        <f>IF(RIGHT(G1518,5)="FRAME","扩展帧CAN消息","")</f>
        <v>扩展帧CAN消息</v>
      </c>
      <c r="M1518" s="333"/>
    </row>
    <row r="1519" spans="1:13">
      <c r="A1519" s="331"/>
      <c r="B1519" s="331"/>
      <c r="C1519" s="331"/>
      <c r="D1519" s="331"/>
      <c r="E1519" s="331"/>
      <c r="F1519" s="331"/>
      <c r="G1519" s="320" t="s">
        <v>1025</v>
      </c>
      <c r="H1519" s="291">
        <f t="shared" si="175"/>
        <v>448</v>
      </c>
      <c r="I1519" s="291">
        <v>16</v>
      </c>
      <c r="J1519" s="297"/>
      <c r="K1519" s="297"/>
      <c r="L1519" s="324" t="str">
        <f>IF(RIGHT(G1519,5)="FRAME","扩展帧CAN消息","")</f>
        <v>扩展帧CAN消息</v>
      </c>
      <c r="M1519" s="333"/>
    </row>
    <row r="1520" spans="1:13">
      <c r="A1520" s="331"/>
      <c r="B1520" s="331"/>
      <c r="C1520" s="331"/>
      <c r="D1520" s="331"/>
      <c r="E1520" s="331"/>
      <c r="F1520" s="331"/>
      <c r="G1520" s="334" t="s">
        <v>1026</v>
      </c>
      <c r="H1520" s="291">
        <f t="shared" si="175"/>
        <v>464</v>
      </c>
      <c r="I1520" s="291">
        <v>16</v>
      </c>
      <c r="J1520" s="297"/>
      <c r="K1520" s="297"/>
      <c r="L1520" s="324" t="str">
        <f>IF(RIGHT(G1520,5)="FRAME","扩展帧CAN消息","")</f>
        <v>扩展帧CAN消息</v>
      </c>
      <c r="M1520" s="333"/>
    </row>
    <row r="1521" spans="1:13">
      <c r="A1521" s="331"/>
      <c r="B1521" s="331"/>
      <c r="C1521" s="331"/>
      <c r="D1521" s="331"/>
      <c r="E1521" s="331"/>
      <c r="F1521" s="331"/>
      <c r="G1521" s="291" t="s">
        <v>120</v>
      </c>
      <c r="H1521" s="291">
        <f t="shared" si="175"/>
        <v>480</v>
      </c>
      <c r="I1521" s="291">
        <v>4</v>
      </c>
      <c r="J1521" s="297"/>
      <c r="K1521" s="297"/>
      <c r="L1521" s="324"/>
      <c r="M1521" s="333"/>
    </row>
    <row r="1522" spans="1:13">
      <c r="A1522" s="331"/>
      <c r="B1522" s="331"/>
      <c r="C1522" s="331"/>
      <c r="D1522" s="331"/>
      <c r="E1522" s="331"/>
      <c r="F1522" s="331"/>
      <c r="G1522" s="334" t="s">
        <v>1027</v>
      </c>
      <c r="H1522" s="291">
        <f t="shared" si="175"/>
        <v>484</v>
      </c>
      <c r="I1522" s="291">
        <v>16</v>
      </c>
      <c r="J1522" s="297"/>
      <c r="K1522" s="297"/>
      <c r="L1522" s="324" t="str">
        <f>IF(RIGHT(G1522,5)="FRAME","扩展帧CAN消息","")</f>
        <v>扩展帧CAN消息</v>
      </c>
      <c r="M1522" s="333"/>
    </row>
    <row r="1523" spans="1:13">
      <c r="A1523" s="331"/>
      <c r="B1523" s="331"/>
      <c r="C1523" s="331"/>
      <c r="D1523" s="331"/>
      <c r="E1523" s="331"/>
      <c r="F1523" s="331"/>
      <c r="G1523" s="334" t="s">
        <v>1028</v>
      </c>
      <c r="H1523" s="291">
        <f t="shared" si="175"/>
        <v>500</v>
      </c>
      <c r="I1523" s="291">
        <v>16</v>
      </c>
      <c r="J1523" s="297"/>
      <c r="K1523" s="297"/>
      <c r="L1523" s="324" t="str">
        <f>IF(RIGHT(G1523,5)="FRAME","扩展帧CAN消息","")</f>
        <v>扩展帧CAN消息</v>
      </c>
      <c r="M1523" s="333"/>
    </row>
    <row r="1524" spans="1:13">
      <c r="A1524" s="331"/>
      <c r="B1524" s="331"/>
      <c r="C1524" s="331"/>
      <c r="D1524" s="331"/>
      <c r="E1524" s="331"/>
      <c r="F1524" s="331"/>
      <c r="G1524" s="334" t="s">
        <v>1029</v>
      </c>
      <c r="H1524" s="291">
        <f t="shared" si="175"/>
        <v>516</v>
      </c>
      <c r="I1524" s="291">
        <v>16</v>
      </c>
      <c r="J1524" s="297"/>
      <c r="K1524" s="297"/>
      <c r="L1524" s="324" t="str">
        <f>IF(RIGHT(G1524,5)="FRAME","扩展帧CAN消息","")</f>
        <v>扩展帧CAN消息</v>
      </c>
      <c r="M1524" s="333"/>
    </row>
    <row r="1525" spans="1:13">
      <c r="A1525" s="331"/>
      <c r="B1525" s="331"/>
      <c r="C1525" s="331"/>
      <c r="D1525" s="331"/>
      <c r="E1525" s="331"/>
      <c r="F1525" s="331"/>
      <c r="G1525" s="334" t="s">
        <v>1030</v>
      </c>
      <c r="H1525" s="291">
        <f t="shared" ref="H1525:H1559" si="176">H1524+I1524</f>
        <v>532</v>
      </c>
      <c r="I1525" s="291">
        <v>16</v>
      </c>
      <c r="J1525" s="297"/>
      <c r="K1525" s="297"/>
      <c r="L1525" s="324" t="str">
        <f>IF(RIGHT(G1525,5)="FRAME","扩展帧CAN消息","")</f>
        <v>扩展帧CAN消息</v>
      </c>
      <c r="M1525" s="333"/>
    </row>
    <row r="1526" spans="1:13">
      <c r="A1526" s="331"/>
      <c r="B1526" s="331"/>
      <c r="C1526" s="331"/>
      <c r="D1526" s="331"/>
      <c r="E1526" s="331"/>
      <c r="F1526" s="331"/>
      <c r="G1526" s="291" t="s">
        <v>120</v>
      </c>
      <c r="H1526" s="291">
        <f t="shared" si="176"/>
        <v>548</v>
      </c>
      <c r="I1526" s="291">
        <v>4</v>
      </c>
      <c r="J1526" s="297"/>
      <c r="K1526" s="297"/>
      <c r="L1526" s="324"/>
      <c r="M1526" s="333"/>
    </row>
    <row r="1527" spans="1:13">
      <c r="A1527" s="331"/>
      <c r="B1527" s="331"/>
      <c r="C1527" s="331"/>
      <c r="D1527" s="331"/>
      <c r="E1527" s="331"/>
      <c r="F1527" s="331"/>
      <c r="G1527" s="334" t="s">
        <v>1031</v>
      </c>
      <c r="H1527" s="291">
        <f t="shared" si="176"/>
        <v>552</v>
      </c>
      <c r="I1527" s="291">
        <v>16</v>
      </c>
      <c r="J1527" s="297"/>
      <c r="K1527" s="297"/>
      <c r="L1527" s="324" t="str">
        <f>IF(RIGHT(G1527,5)="FRAME","扩展帧CAN消息","")</f>
        <v>扩展帧CAN消息</v>
      </c>
      <c r="M1527" s="333"/>
    </row>
    <row r="1528" spans="1:13">
      <c r="A1528" s="331"/>
      <c r="B1528" s="331"/>
      <c r="C1528" s="331"/>
      <c r="D1528" s="331"/>
      <c r="E1528" s="331"/>
      <c r="F1528" s="331"/>
      <c r="G1528" s="334" t="s">
        <v>1032</v>
      </c>
      <c r="H1528" s="291">
        <f t="shared" si="176"/>
        <v>568</v>
      </c>
      <c r="I1528" s="291">
        <v>16</v>
      </c>
      <c r="J1528" s="297"/>
      <c r="K1528" s="297"/>
      <c r="L1528" s="324" t="str">
        <f>IF(RIGHT(G1528,5)="FRAME","扩展帧CAN消息","")</f>
        <v>扩展帧CAN消息</v>
      </c>
      <c r="M1528" s="333"/>
    </row>
    <row r="1529" spans="1:13">
      <c r="A1529" s="331"/>
      <c r="B1529" s="331"/>
      <c r="C1529" s="331"/>
      <c r="D1529" s="331"/>
      <c r="E1529" s="331"/>
      <c r="F1529" s="331"/>
      <c r="G1529" s="334" t="s">
        <v>1033</v>
      </c>
      <c r="H1529" s="291">
        <f t="shared" si="176"/>
        <v>584</v>
      </c>
      <c r="I1529" s="291">
        <v>16</v>
      </c>
      <c r="J1529" s="297"/>
      <c r="K1529" s="297"/>
      <c r="L1529" s="324" t="str">
        <f>IF(RIGHT(G1529,5)="FRAME","扩展帧CAN消息","")</f>
        <v>扩展帧CAN消息</v>
      </c>
      <c r="M1529" s="333"/>
    </row>
    <row r="1530" spans="1:13">
      <c r="A1530" s="331"/>
      <c r="B1530" s="331"/>
      <c r="C1530" s="331"/>
      <c r="D1530" s="331"/>
      <c r="E1530" s="331"/>
      <c r="F1530" s="331"/>
      <c r="G1530" s="334" t="s">
        <v>1034</v>
      </c>
      <c r="H1530" s="291">
        <f t="shared" si="176"/>
        <v>600</v>
      </c>
      <c r="I1530" s="291">
        <v>16</v>
      </c>
      <c r="J1530" s="297"/>
      <c r="K1530" s="297"/>
      <c r="L1530" s="324" t="str">
        <f>IF(RIGHT(G1530,5)="FRAME","扩展帧CAN消息","")</f>
        <v>扩展帧CAN消息</v>
      </c>
      <c r="M1530" s="333"/>
    </row>
    <row r="1531" spans="1:13">
      <c r="A1531" s="331"/>
      <c r="B1531" s="331"/>
      <c r="C1531" s="331"/>
      <c r="D1531" s="331"/>
      <c r="E1531" s="331"/>
      <c r="F1531" s="331"/>
      <c r="G1531" s="291" t="s">
        <v>120</v>
      </c>
      <c r="H1531" s="291">
        <f t="shared" si="176"/>
        <v>616</v>
      </c>
      <c r="I1531" s="291">
        <v>4</v>
      </c>
      <c r="J1531" s="297"/>
      <c r="K1531" s="297"/>
      <c r="L1531" s="324"/>
      <c r="M1531" s="333"/>
    </row>
    <row r="1532" spans="1:13">
      <c r="A1532" s="331"/>
      <c r="B1532" s="331"/>
      <c r="C1532" s="331"/>
      <c r="D1532" s="331"/>
      <c r="E1532" s="331"/>
      <c r="F1532" s="331"/>
      <c r="G1532" s="334" t="s">
        <v>1035</v>
      </c>
      <c r="H1532" s="291">
        <f t="shared" si="176"/>
        <v>620</v>
      </c>
      <c r="I1532" s="291">
        <v>16</v>
      </c>
      <c r="J1532" s="297"/>
      <c r="K1532" s="297"/>
      <c r="L1532" s="324" t="str">
        <f>IF(RIGHT(G1532,5)="FRAME","扩展帧CAN消息","")</f>
        <v>扩展帧CAN消息</v>
      </c>
      <c r="M1532" s="333"/>
    </row>
    <row r="1533" spans="1:13">
      <c r="A1533" s="331"/>
      <c r="B1533" s="331"/>
      <c r="C1533" s="331"/>
      <c r="D1533" s="331"/>
      <c r="E1533" s="331"/>
      <c r="F1533" s="331"/>
      <c r="G1533" s="334" t="s">
        <v>1036</v>
      </c>
      <c r="H1533" s="291">
        <f t="shared" si="176"/>
        <v>636</v>
      </c>
      <c r="I1533" s="291">
        <v>16</v>
      </c>
      <c r="J1533" s="297"/>
      <c r="K1533" s="297"/>
      <c r="L1533" s="324" t="str">
        <f>IF(RIGHT(G1533,5)="FRAME","扩展帧CAN消息","")</f>
        <v>扩展帧CAN消息</v>
      </c>
      <c r="M1533" s="333"/>
    </row>
    <row r="1534" spans="1:13">
      <c r="A1534" s="331"/>
      <c r="B1534" s="331"/>
      <c r="C1534" s="331"/>
      <c r="D1534" s="331"/>
      <c r="E1534" s="331"/>
      <c r="F1534" s="331"/>
      <c r="G1534" s="334" t="s">
        <v>1037</v>
      </c>
      <c r="H1534" s="291">
        <f t="shared" si="176"/>
        <v>652</v>
      </c>
      <c r="I1534" s="291">
        <v>16</v>
      </c>
      <c r="J1534" s="297"/>
      <c r="K1534" s="297"/>
      <c r="L1534" s="324" t="str">
        <f>IF(RIGHT(G1534,5)="FRAME","扩展帧CAN消息","")</f>
        <v>扩展帧CAN消息</v>
      </c>
      <c r="M1534" s="333"/>
    </row>
    <row r="1535" spans="1:13">
      <c r="A1535" s="331"/>
      <c r="B1535" s="331"/>
      <c r="C1535" s="331"/>
      <c r="D1535" s="331"/>
      <c r="E1535" s="331"/>
      <c r="F1535" s="331"/>
      <c r="G1535" s="334" t="s">
        <v>1038</v>
      </c>
      <c r="H1535" s="291">
        <f t="shared" si="176"/>
        <v>668</v>
      </c>
      <c r="I1535" s="291">
        <v>16</v>
      </c>
      <c r="J1535" s="297"/>
      <c r="K1535" s="297"/>
      <c r="L1535" s="324" t="str">
        <f>IF(RIGHT(G1535,5)="FRAME","扩展帧CAN消息","")</f>
        <v>扩展帧CAN消息</v>
      </c>
      <c r="M1535" s="333"/>
    </row>
    <row r="1536" spans="1:13">
      <c r="A1536" s="331"/>
      <c r="B1536" s="331"/>
      <c r="C1536" s="331"/>
      <c r="D1536" s="331"/>
      <c r="E1536" s="331"/>
      <c r="F1536" s="331"/>
      <c r="G1536" s="291" t="s">
        <v>120</v>
      </c>
      <c r="H1536" s="291">
        <f t="shared" si="176"/>
        <v>684</v>
      </c>
      <c r="I1536" s="291">
        <v>4</v>
      </c>
      <c r="J1536" s="297"/>
      <c r="K1536" s="297"/>
      <c r="L1536" s="324"/>
      <c r="M1536" s="333"/>
    </row>
    <row r="1537" spans="1:13">
      <c r="A1537" s="331"/>
      <c r="B1537" s="331"/>
      <c r="C1537" s="331"/>
      <c r="D1537" s="331"/>
      <c r="E1537" s="331"/>
      <c r="F1537" s="331"/>
      <c r="G1537" s="320" t="s">
        <v>1039</v>
      </c>
      <c r="H1537" s="291">
        <f t="shared" si="176"/>
        <v>688</v>
      </c>
      <c r="I1537" s="291">
        <v>16</v>
      </c>
      <c r="J1537" s="297"/>
      <c r="K1537" s="297"/>
      <c r="L1537" s="324" t="str">
        <f>IF(RIGHT(G1537,5)="FRAME","扩展帧CAN消息","")</f>
        <v>扩展帧CAN消息</v>
      </c>
      <c r="M1537" s="333"/>
    </row>
    <row r="1538" spans="1:13">
      <c r="A1538" s="331"/>
      <c r="B1538" s="331"/>
      <c r="C1538" s="331"/>
      <c r="D1538" s="331"/>
      <c r="E1538" s="331"/>
      <c r="F1538" s="331"/>
      <c r="G1538" s="291" t="s">
        <v>1040</v>
      </c>
      <c r="H1538" s="291">
        <f t="shared" si="176"/>
        <v>704</v>
      </c>
      <c r="I1538" s="291">
        <v>16</v>
      </c>
      <c r="J1538" s="297"/>
      <c r="K1538" s="297"/>
      <c r="L1538" s="324" t="str">
        <f>IF(RIGHT(G1538,5)="FRAME","扩展帧CAN消息","")</f>
        <v>扩展帧CAN消息</v>
      </c>
      <c r="M1538" s="333"/>
    </row>
    <row r="1539" spans="1:13">
      <c r="A1539" s="331"/>
      <c r="B1539" s="331"/>
      <c r="C1539" s="331"/>
      <c r="D1539" s="331"/>
      <c r="E1539" s="331"/>
      <c r="F1539" s="331"/>
      <c r="G1539" s="291" t="s">
        <v>1041</v>
      </c>
      <c r="H1539" s="291">
        <f t="shared" si="176"/>
        <v>720</v>
      </c>
      <c r="I1539" s="291">
        <v>16</v>
      </c>
      <c r="J1539" s="297"/>
      <c r="K1539" s="297"/>
      <c r="L1539" s="324" t="str">
        <f>IF(RIGHT(G1539,5)="FRAME","扩展帧CAN消息","")</f>
        <v>扩展帧CAN消息</v>
      </c>
      <c r="M1539" s="333"/>
    </row>
    <row r="1540" spans="1:13">
      <c r="A1540" s="331"/>
      <c r="B1540" s="331"/>
      <c r="C1540" s="331"/>
      <c r="D1540" s="331"/>
      <c r="E1540" s="331"/>
      <c r="F1540" s="331"/>
      <c r="G1540" s="320" t="s">
        <v>1042</v>
      </c>
      <c r="H1540" s="291">
        <f t="shared" si="176"/>
        <v>736</v>
      </c>
      <c r="I1540" s="291">
        <v>16</v>
      </c>
      <c r="J1540" s="297"/>
      <c r="K1540" s="297"/>
      <c r="L1540" s="324" t="str">
        <f>IF(RIGHT(G1540,5)="FRAME","扩展帧CAN消息","")</f>
        <v>扩展帧CAN消息</v>
      </c>
      <c r="M1540" s="333"/>
    </row>
    <row r="1541" spans="1:13">
      <c r="A1541" s="331"/>
      <c r="B1541" s="331"/>
      <c r="C1541" s="331"/>
      <c r="D1541" s="331"/>
      <c r="E1541" s="331"/>
      <c r="F1541" s="331"/>
      <c r="G1541" s="291" t="s">
        <v>120</v>
      </c>
      <c r="H1541" s="291">
        <f t="shared" si="176"/>
        <v>752</v>
      </c>
      <c r="I1541" s="291">
        <v>4</v>
      </c>
      <c r="J1541" s="297"/>
      <c r="K1541" s="297"/>
      <c r="L1541" s="324"/>
      <c r="M1541" s="333"/>
    </row>
    <row r="1542" spans="1:13">
      <c r="A1542" s="331"/>
      <c r="B1542" s="331"/>
      <c r="C1542" s="331"/>
      <c r="D1542" s="331"/>
      <c r="E1542" s="331"/>
      <c r="F1542" s="331"/>
      <c r="G1542" s="291" t="s">
        <v>1043</v>
      </c>
      <c r="H1542" s="291">
        <f t="shared" si="176"/>
        <v>756</v>
      </c>
      <c r="I1542" s="291">
        <v>16</v>
      </c>
      <c r="J1542" s="297"/>
      <c r="K1542" s="297"/>
      <c r="L1542" s="324" t="str">
        <f>IF(RIGHT(G1542,5)="FRAME","扩展帧CAN消息","")</f>
        <v>扩展帧CAN消息</v>
      </c>
      <c r="M1542" s="333"/>
    </row>
    <row r="1543" spans="1:13">
      <c r="A1543" s="331"/>
      <c r="B1543" s="331"/>
      <c r="C1543" s="331"/>
      <c r="D1543" s="331"/>
      <c r="E1543" s="331"/>
      <c r="F1543" s="331"/>
      <c r="G1543" s="334" t="s">
        <v>1044</v>
      </c>
      <c r="H1543" s="291">
        <f t="shared" si="176"/>
        <v>772</v>
      </c>
      <c r="I1543" s="291">
        <v>16</v>
      </c>
      <c r="J1543" s="297"/>
      <c r="K1543" s="297"/>
      <c r="L1543" s="324" t="str">
        <f>IF(RIGHT(G1543,5)="FRAME","扩展帧CAN消息","")</f>
        <v>扩展帧CAN消息</v>
      </c>
      <c r="M1543" s="333"/>
    </row>
    <row r="1544" spans="1:13">
      <c r="A1544" s="331"/>
      <c r="B1544" s="331"/>
      <c r="C1544" s="331"/>
      <c r="D1544" s="331"/>
      <c r="E1544" s="331"/>
      <c r="F1544" s="331"/>
      <c r="G1544" s="334" t="s">
        <v>1045</v>
      </c>
      <c r="H1544" s="291">
        <f t="shared" si="176"/>
        <v>788</v>
      </c>
      <c r="I1544" s="291">
        <v>16</v>
      </c>
      <c r="J1544" s="297"/>
      <c r="K1544" s="297"/>
      <c r="L1544" s="324" t="str">
        <f>IF(RIGHT(G1544,5)="FRAME","扩展帧CAN消息","")</f>
        <v>扩展帧CAN消息</v>
      </c>
      <c r="M1544" s="333"/>
    </row>
    <row r="1545" spans="1:13">
      <c r="A1545" s="331"/>
      <c r="B1545" s="331"/>
      <c r="C1545" s="331"/>
      <c r="D1545" s="331"/>
      <c r="E1545" s="331"/>
      <c r="F1545" s="331"/>
      <c r="G1545" s="334" t="s">
        <v>1046</v>
      </c>
      <c r="H1545" s="291">
        <f t="shared" si="176"/>
        <v>804</v>
      </c>
      <c r="I1545" s="291">
        <v>16</v>
      </c>
      <c r="J1545" s="297"/>
      <c r="K1545" s="297"/>
      <c r="L1545" s="324" t="str">
        <f>IF(RIGHT(G1545,5)="FRAME","扩展帧CAN消息","")</f>
        <v>扩展帧CAN消息</v>
      </c>
      <c r="M1545" s="333"/>
    </row>
    <row r="1546" spans="1:13">
      <c r="A1546" s="331"/>
      <c r="B1546" s="331"/>
      <c r="C1546" s="331"/>
      <c r="D1546" s="331"/>
      <c r="E1546" s="331"/>
      <c r="F1546" s="331"/>
      <c r="G1546" s="291" t="s">
        <v>120</v>
      </c>
      <c r="H1546" s="291">
        <f t="shared" si="176"/>
        <v>820</v>
      </c>
      <c r="I1546" s="291">
        <v>4</v>
      </c>
      <c r="J1546" s="297"/>
      <c r="K1546" s="297"/>
      <c r="L1546" s="324"/>
      <c r="M1546" s="333"/>
    </row>
    <row r="1547" spans="1:13">
      <c r="A1547" s="331"/>
      <c r="B1547" s="331"/>
      <c r="C1547" s="331"/>
      <c r="D1547" s="331"/>
      <c r="E1547" s="331"/>
      <c r="F1547" s="331"/>
      <c r="G1547" s="334" t="s">
        <v>1047</v>
      </c>
      <c r="H1547" s="291">
        <f t="shared" si="176"/>
        <v>824</v>
      </c>
      <c r="I1547" s="291">
        <v>16</v>
      </c>
      <c r="J1547" s="297"/>
      <c r="K1547" s="297"/>
      <c r="L1547" s="324" t="str">
        <f>IF(RIGHT(G1547,5)="FRAME","扩展帧CAN消息","")</f>
        <v>扩展帧CAN消息</v>
      </c>
      <c r="M1547" s="333"/>
    </row>
    <row r="1548" spans="1:13">
      <c r="A1548" s="331"/>
      <c r="B1548" s="331"/>
      <c r="C1548" s="331"/>
      <c r="D1548" s="331"/>
      <c r="E1548" s="331"/>
      <c r="F1548" s="331"/>
      <c r="G1548" s="334" t="s">
        <v>1048</v>
      </c>
      <c r="H1548" s="291">
        <f t="shared" si="176"/>
        <v>840</v>
      </c>
      <c r="I1548" s="291">
        <v>16</v>
      </c>
      <c r="J1548" s="297"/>
      <c r="K1548" s="297"/>
      <c r="L1548" s="324" t="str">
        <f>IF(RIGHT(G1548,5)="FRAME","扩展帧CAN消息","")</f>
        <v>扩展帧CAN消息</v>
      </c>
      <c r="M1548" s="333"/>
    </row>
    <row r="1549" spans="1:13">
      <c r="A1549" s="331"/>
      <c r="B1549" s="331"/>
      <c r="C1549" s="331"/>
      <c r="D1549" s="331"/>
      <c r="E1549" s="331"/>
      <c r="F1549" s="331"/>
      <c r="G1549" s="334" t="s">
        <v>1049</v>
      </c>
      <c r="H1549" s="291">
        <f t="shared" si="176"/>
        <v>856</v>
      </c>
      <c r="I1549" s="291">
        <v>16</v>
      </c>
      <c r="J1549" s="297"/>
      <c r="K1549" s="297"/>
      <c r="L1549" s="324" t="str">
        <f>IF(RIGHT(G1549,5)="FRAME","扩展帧CAN消息","")</f>
        <v>扩展帧CAN消息</v>
      </c>
      <c r="M1549" s="333"/>
    </row>
    <row r="1550" spans="1:13">
      <c r="A1550" s="331"/>
      <c r="B1550" s="331"/>
      <c r="C1550" s="331"/>
      <c r="D1550" s="331"/>
      <c r="E1550" s="331"/>
      <c r="F1550" s="331"/>
      <c r="G1550" s="334" t="s">
        <v>1050</v>
      </c>
      <c r="H1550" s="291">
        <f t="shared" si="176"/>
        <v>872</v>
      </c>
      <c r="I1550" s="291">
        <v>16</v>
      </c>
      <c r="J1550" s="297"/>
      <c r="K1550" s="297"/>
      <c r="L1550" s="324" t="str">
        <f>IF(RIGHT(G1550,5)="FRAME","扩展帧CAN消息","")</f>
        <v>扩展帧CAN消息</v>
      </c>
      <c r="M1550" s="333"/>
    </row>
    <row r="1551" spans="1:13">
      <c r="A1551" s="331"/>
      <c r="B1551" s="331"/>
      <c r="C1551" s="331"/>
      <c r="D1551" s="331"/>
      <c r="E1551" s="331"/>
      <c r="F1551" s="331"/>
      <c r="G1551" s="291" t="s">
        <v>120</v>
      </c>
      <c r="H1551" s="291">
        <f t="shared" si="176"/>
        <v>888</v>
      </c>
      <c r="I1551" s="291">
        <v>4</v>
      </c>
      <c r="J1551" s="297"/>
      <c r="K1551" s="297"/>
      <c r="L1551" s="324"/>
      <c r="M1551" s="333"/>
    </row>
    <row r="1552" spans="1:13">
      <c r="A1552" s="331"/>
      <c r="B1552" s="331"/>
      <c r="C1552" s="331"/>
      <c r="D1552" s="331"/>
      <c r="E1552" s="331"/>
      <c r="F1552" s="331"/>
      <c r="G1552" s="334" t="s">
        <v>1051</v>
      </c>
      <c r="H1552" s="291">
        <f t="shared" si="176"/>
        <v>892</v>
      </c>
      <c r="I1552" s="291">
        <v>16</v>
      </c>
      <c r="J1552" s="297"/>
      <c r="K1552" s="297"/>
      <c r="L1552" s="324" t="str">
        <f>IF(RIGHT(G1552,5)="FRAME","扩展帧CAN消息","")</f>
        <v>扩展帧CAN消息</v>
      </c>
      <c r="M1552" s="333"/>
    </row>
    <row r="1553" spans="1:13">
      <c r="A1553" s="331"/>
      <c r="B1553" s="331"/>
      <c r="C1553" s="331"/>
      <c r="D1553" s="331"/>
      <c r="E1553" s="331"/>
      <c r="F1553" s="331"/>
      <c r="G1553" s="334" t="s">
        <v>1052</v>
      </c>
      <c r="H1553" s="291">
        <f t="shared" si="176"/>
        <v>908</v>
      </c>
      <c r="I1553" s="291">
        <v>16</v>
      </c>
      <c r="J1553" s="297"/>
      <c r="K1553" s="297"/>
      <c r="L1553" s="324" t="str">
        <f>IF(RIGHT(G1553,5)="FRAME","扩展帧CAN消息","")</f>
        <v>扩展帧CAN消息</v>
      </c>
      <c r="M1553" s="333"/>
    </row>
    <row r="1554" spans="1:13">
      <c r="A1554" s="331"/>
      <c r="B1554" s="331"/>
      <c r="C1554" s="331"/>
      <c r="D1554" s="331"/>
      <c r="E1554" s="331"/>
      <c r="F1554" s="331"/>
      <c r="G1554" s="334" t="s">
        <v>1053</v>
      </c>
      <c r="H1554" s="291">
        <f t="shared" si="176"/>
        <v>924</v>
      </c>
      <c r="I1554" s="291">
        <v>16</v>
      </c>
      <c r="J1554" s="297"/>
      <c r="K1554" s="297"/>
      <c r="L1554" s="324" t="str">
        <f>IF(RIGHT(G1554,5)="FRAME","扩展帧CAN消息","")</f>
        <v>扩展帧CAN消息</v>
      </c>
      <c r="M1554" s="333"/>
    </row>
    <row r="1555" spans="1:13">
      <c r="A1555" s="331"/>
      <c r="B1555" s="331"/>
      <c r="C1555" s="331"/>
      <c r="D1555" s="331"/>
      <c r="E1555" s="331"/>
      <c r="F1555" s="331"/>
      <c r="G1555" s="334" t="s">
        <v>1054</v>
      </c>
      <c r="H1555" s="291">
        <f t="shared" si="176"/>
        <v>940</v>
      </c>
      <c r="I1555" s="291">
        <v>16</v>
      </c>
      <c r="J1555" s="297"/>
      <c r="K1555" s="297"/>
      <c r="L1555" s="324" t="str">
        <f>IF(RIGHT(G1555,5)="FRAME","扩展帧CAN消息","")</f>
        <v>扩展帧CAN消息</v>
      </c>
      <c r="M1555" s="333"/>
    </row>
    <row r="1556" spans="1:13">
      <c r="A1556" s="331"/>
      <c r="B1556" s="331"/>
      <c r="C1556" s="331"/>
      <c r="D1556" s="331"/>
      <c r="E1556" s="331"/>
      <c r="F1556" s="331"/>
      <c r="G1556" s="291" t="s">
        <v>120</v>
      </c>
      <c r="H1556" s="291">
        <f t="shared" si="176"/>
        <v>956</v>
      </c>
      <c r="I1556" s="291">
        <v>4</v>
      </c>
      <c r="J1556" s="297"/>
      <c r="K1556" s="297"/>
      <c r="L1556" s="324"/>
      <c r="M1556" s="333"/>
    </row>
    <row r="1557" spans="1:13">
      <c r="A1557" s="331"/>
      <c r="B1557" s="331"/>
      <c r="C1557" s="331"/>
      <c r="D1557" s="331"/>
      <c r="E1557" s="331"/>
      <c r="F1557" s="331"/>
      <c r="G1557" s="334" t="s">
        <v>1055</v>
      </c>
      <c r="H1557" s="291">
        <f t="shared" si="176"/>
        <v>960</v>
      </c>
      <c r="I1557" s="291">
        <v>16</v>
      </c>
      <c r="J1557" s="297"/>
      <c r="K1557" s="297"/>
      <c r="L1557" s="324" t="str">
        <f t="shared" ref="L1557:L1564" si="177">IF(RIGHT(G1557,5)="FRAME","扩展帧CAN消息","")</f>
        <v>扩展帧CAN消息</v>
      </c>
      <c r="M1557" s="333"/>
    </row>
    <row r="1558" spans="1:13">
      <c r="A1558" s="331"/>
      <c r="B1558" s="331"/>
      <c r="C1558" s="331"/>
      <c r="D1558" s="331"/>
      <c r="E1558" s="331"/>
      <c r="F1558" s="331"/>
      <c r="G1558" s="334" t="s">
        <v>1056</v>
      </c>
      <c r="H1558" s="291">
        <f t="shared" si="176"/>
        <v>976</v>
      </c>
      <c r="I1558" s="291">
        <v>16</v>
      </c>
      <c r="J1558" s="297"/>
      <c r="K1558" s="297"/>
      <c r="L1558" s="324" t="str">
        <f t="shared" si="177"/>
        <v>扩展帧CAN消息</v>
      </c>
      <c r="M1558" s="333"/>
    </row>
    <row r="1559" spans="1:13">
      <c r="A1559" s="331"/>
      <c r="B1559" s="331"/>
      <c r="C1559" s="331"/>
      <c r="D1559" s="331"/>
      <c r="E1559" s="331"/>
      <c r="F1559" s="331"/>
      <c r="G1559" s="334" t="s">
        <v>1057</v>
      </c>
      <c r="H1559" s="291">
        <f t="shared" si="176"/>
        <v>992</v>
      </c>
      <c r="I1559" s="291">
        <v>16</v>
      </c>
      <c r="J1559" s="297"/>
      <c r="K1559" s="297"/>
      <c r="L1559" s="324" t="str">
        <f t="shared" si="177"/>
        <v>扩展帧CAN消息</v>
      </c>
      <c r="M1559" s="335"/>
    </row>
    <row r="1560" spans="1:13">
      <c r="A1560" s="286" t="s">
        <v>875</v>
      </c>
      <c r="B1560" s="286" t="s">
        <v>1058</v>
      </c>
      <c r="C1560" s="318" t="s">
        <v>877</v>
      </c>
      <c r="D1560" s="318" t="s">
        <v>133</v>
      </c>
      <c r="E1560" s="318">
        <v>7037</v>
      </c>
      <c r="F1560" s="59" t="s">
        <v>86</v>
      </c>
      <c r="G1560" s="259" t="s">
        <v>134</v>
      </c>
      <c r="H1560" s="48">
        <v>0</v>
      </c>
      <c r="I1560" s="48">
        <v>4</v>
      </c>
      <c r="J1560" s="61" t="s">
        <v>119</v>
      </c>
      <c r="K1560" s="61">
        <v>100</v>
      </c>
      <c r="L1560" s="298" t="str">
        <f t="shared" si="177"/>
        <v/>
      </c>
      <c r="M1560" s="318">
        <v>1602202</v>
      </c>
    </row>
    <row r="1561" spans="1:13">
      <c r="A1561" s="294"/>
      <c r="B1561" s="294"/>
      <c r="C1561" s="319"/>
      <c r="D1561" s="319"/>
      <c r="E1561" s="319"/>
      <c r="F1561" s="59"/>
      <c r="G1561" s="259" t="s">
        <v>120</v>
      </c>
      <c r="H1561" s="48">
        <v>4</v>
      </c>
      <c r="I1561" s="48">
        <v>4</v>
      </c>
      <c r="J1561" s="63"/>
      <c r="K1561" s="63"/>
      <c r="L1561" s="298" t="str">
        <f t="shared" si="177"/>
        <v/>
      </c>
      <c r="M1561" s="319"/>
    </row>
    <row r="1562" spans="1:13">
      <c r="A1562" s="294"/>
      <c r="B1562" s="294"/>
      <c r="C1562" s="319"/>
      <c r="D1562" s="319"/>
      <c r="E1562" s="319"/>
      <c r="F1562" s="59"/>
      <c r="G1562" s="48" t="s">
        <v>878</v>
      </c>
      <c r="H1562" s="48">
        <v>8</v>
      </c>
      <c r="I1562" s="48">
        <v>16</v>
      </c>
      <c r="J1562" s="63"/>
      <c r="K1562" s="63"/>
      <c r="L1562" s="298" t="str">
        <f t="shared" si="177"/>
        <v>扩展帧CAN消息</v>
      </c>
      <c r="M1562" s="319"/>
    </row>
    <row r="1563" spans="1:13">
      <c r="A1563" s="294"/>
      <c r="B1563" s="294"/>
      <c r="C1563" s="319"/>
      <c r="D1563" s="319"/>
      <c r="E1563" s="319"/>
      <c r="F1563" s="59"/>
      <c r="G1563" s="48" t="s">
        <v>880</v>
      </c>
      <c r="H1563" s="48">
        <v>24</v>
      </c>
      <c r="I1563" s="48">
        <v>16</v>
      </c>
      <c r="J1563" s="63"/>
      <c r="K1563" s="63"/>
      <c r="L1563" s="298" t="str">
        <f t="shared" si="177"/>
        <v>扩展帧CAN消息</v>
      </c>
      <c r="M1563" s="319"/>
    </row>
    <row r="1564" spans="1:13">
      <c r="A1564" s="294"/>
      <c r="B1564" s="294"/>
      <c r="C1564" s="319"/>
      <c r="D1564" s="319"/>
      <c r="E1564" s="319"/>
      <c r="F1564" s="59"/>
      <c r="G1564" s="48" t="s">
        <v>881</v>
      </c>
      <c r="H1564" s="48">
        <v>40</v>
      </c>
      <c r="I1564" s="48">
        <v>16</v>
      </c>
      <c r="J1564" s="63"/>
      <c r="K1564" s="63"/>
      <c r="L1564" s="298" t="str">
        <f t="shared" si="177"/>
        <v>扩展帧CAN消息</v>
      </c>
      <c r="M1564" s="319"/>
    </row>
    <row r="1565" spans="1:13">
      <c r="A1565" s="294"/>
      <c r="B1565" s="294"/>
      <c r="C1565" s="319"/>
      <c r="D1565" s="319"/>
      <c r="E1565" s="319"/>
      <c r="F1565" s="59"/>
      <c r="G1565" s="48" t="s">
        <v>882</v>
      </c>
      <c r="H1565" s="48">
        <v>56</v>
      </c>
      <c r="I1565" s="48">
        <v>16</v>
      </c>
      <c r="J1565" s="63"/>
      <c r="K1565" s="63"/>
      <c r="L1565" s="298" t="str">
        <f t="shared" ref="L1565:L1578" si="178">IF(RIGHT(G1565,5)="FRAME","扩展帧CAN消息","")</f>
        <v>扩展帧CAN消息</v>
      </c>
      <c r="M1565" s="319"/>
    </row>
    <row r="1566" spans="1:13">
      <c r="A1566" s="290"/>
      <c r="B1566" s="290" t="s">
        <v>1059</v>
      </c>
      <c r="C1566" s="290" t="s">
        <v>877</v>
      </c>
      <c r="D1566" s="290" t="s">
        <v>133</v>
      </c>
      <c r="E1566" s="290">
        <v>7044</v>
      </c>
      <c r="F1566" s="294" t="s">
        <v>86</v>
      </c>
      <c r="G1566" s="320" t="s">
        <v>134</v>
      </c>
      <c r="H1566" s="291">
        <v>0</v>
      </c>
      <c r="I1566" s="291">
        <v>4</v>
      </c>
      <c r="J1566" s="321" t="s">
        <v>119</v>
      </c>
      <c r="K1566" s="320">
        <v>500</v>
      </c>
      <c r="L1566" s="324" t="str">
        <f t="shared" si="178"/>
        <v/>
      </c>
      <c r="M1566" s="286">
        <v>1602202</v>
      </c>
    </row>
    <row r="1567" spans="1:13">
      <c r="A1567" s="290"/>
      <c r="B1567" s="290"/>
      <c r="C1567" s="290"/>
      <c r="D1567" s="290"/>
      <c r="E1567" s="290"/>
      <c r="F1567" s="294"/>
      <c r="G1567" s="320" t="s">
        <v>120</v>
      </c>
      <c r="H1567" s="291">
        <f t="shared" ref="H1567:H1588" si="179">H1566+I1566</f>
        <v>4</v>
      </c>
      <c r="I1567" s="291">
        <v>4</v>
      </c>
      <c r="J1567" s="323"/>
      <c r="K1567" s="320"/>
      <c r="L1567" s="324" t="str">
        <f t="shared" si="178"/>
        <v/>
      </c>
      <c r="M1567" s="294"/>
    </row>
    <row r="1568" spans="1:13">
      <c r="A1568" s="290"/>
      <c r="B1568" s="290"/>
      <c r="C1568" s="290"/>
      <c r="D1568" s="290"/>
      <c r="E1568" s="290"/>
      <c r="F1568" s="294"/>
      <c r="G1568" s="291" t="s">
        <v>884</v>
      </c>
      <c r="H1568" s="291">
        <f t="shared" si="179"/>
        <v>8</v>
      </c>
      <c r="I1568" s="291">
        <v>16</v>
      </c>
      <c r="J1568" s="323"/>
      <c r="K1568" s="320"/>
      <c r="L1568" s="324" t="str">
        <f t="shared" si="178"/>
        <v>扩展帧CAN消息</v>
      </c>
      <c r="M1568" s="294"/>
    </row>
    <row r="1569" spans="1:13">
      <c r="A1569" s="290"/>
      <c r="B1569" s="290"/>
      <c r="C1569" s="290"/>
      <c r="D1569" s="290"/>
      <c r="E1569" s="290"/>
      <c r="F1569" s="294"/>
      <c r="G1569" s="291" t="s">
        <v>885</v>
      </c>
      <c r="H1569" s="291">
        <f t="shared" si="179"/>
        <v>24</v>
      </c>
      <c r="I1569" s="291">
        <v>16</v>
      </c>
      <c r="J1569" s="323"/>
      <c r="K1569" s="320"/>
      <c r="L1569" s="324" t="str">
        <f t="shared" si="178"/>
        <v>扩展帧CAN消息</v>
      </c>
      <c r="M1569" s="294"/>
    </row>
    <row r="1570" spans="1:13">
      <c r="A1570" s="290"/>
      <c r="B1570" s="290"/>
      <c r="C1570" s="290"/>
      <c r="D1570" s="290"/>
      <c r="E1570" s="290"/>
      <c r="F1570" s="294"/>
      <c r="G1570" s="291" t="s">
        <v>886</v>
      </c>
      <c r="H1570" s="291">
        <f t="shared" si="179"/>
        <v>40</v>
      </c>
      <c r="I1570" s="291">
        <v>16</v>
      </c>
      <c r="J1570" s="323"/>
      <c r="K1570" s="320"/>
      <c r="L1570" s="324" t="str">
        <f t="shared" si="178"/>
        <v>扩展帧CAN消息</v>
      </c>
      <c r="M1570" s="294"/>
    </row>
    <row r="1571" spans="1:13">
      <c r="A1571" s="290"/>
      <c r="B1571" s="290"/>
      <c r="C1571" s="290"/>
      <c r="D1571" s="290"/>
      <c r="E1571" s="290"/>
      <c r="F1571" s="294"/>
      <c r="G1571" s="291" t="s">
        <v>887</v>
      </c>
      <c r="H1571" s="291">
        <f t="shared" si="179"/>
        <v>56</v>
      </c>
      <c r="I1571" s="291">
        <v>16</v>
      </c>
      <c r="J1571" s="323"/>
      <c r="K1571" s="320"/>
      <c r="L1571" s="324" t="str">
        <f t="shared" si="178"/>
        <v>扩展帧CAN消息</v>
      </c>
      <c r="M1571" s="294"/>
    </row>
    <row r="1572" spans="1:13">
      <c r="A1572" s="290"/>
      <c r="B1572" s="290"/>
      <c r="C1572" s="290"/>
      <c r="D1572" s="290"/>
      <c r="E1572" s="290"/>
      <c r="F1572" s="294"/>
      <c r="G1572" s="320" t="s">
        <v>120</v>
      </c>
      <c r="H1572" s="291">
        <f t="shared" si="179"/>
        <v>72</v>
      </c>
      <c r="I1572" s="291">
        <v>4</v>
      </c>
      <c r="J1572" s="323"/>
      <c r="K1572" s="320"/>
      <c r="L1572" s="324" t="str">
        <f t="shared" si="178"/>
        <v/>
      </c>
      <c r="M1572" s="294"/>
    </row>
    <row r="1573" spans="1:13">
      <c r="A1573" s="290"/>
      <c r="B1573" s="290"/>
      <c r="C1573" s="290"/>
      <c r="D1573" s="290"/>
      <c r="E1573" s="290"/>
      <c r="F1573" s="294"/>
      <c r="G1573" s="291" t="s">
        <v>888</v>
      </c>
      <c r="H1573" s="291">
        <f t="shared" si="179"/>
        <v>76</v>
      </c>
      <c r="I1573" s="291">
        <v>16</v>
      </c>
      <c r="J1573" s="323"/>
      <c r="K1573" s="320"/>
      <c r="L1573" s="324" t="str">
        <f t="shared" si="178"/>
        <v>扩展帧CAN消息</v>
      </c>
      <c r="M1573" s="294"/>
    </row>
    <row r="1574" spans="1:13">
      <c r="A1574" s="290"/>
      <c r="B1574" s="290"/>
      <c r="C1574" s="290"/>
      <c r="D1574" s="290"/>
      <c r="E1574" s="290"/>
      <c r="F1574" s="294"/>
      <c r="G1574" s="291" t="s">
        <v>889</v>
      </c>
      <c r="H1574" s="291">
        <f t="shared" si="179"/>
        <v>92</v>
      </c>
      <c r="I1574" s="291">
        <v>16</v>
      </c>
      <c r="J1574" s="323"/>
      <c r="K1574" s="320"/>
      <c r="L1574" s="324" t="str">
        <f t="shared" si="178"/>
        <v>扩展帧CAN消息</v>
      </c>
      <c r="M1574" s="294"/>
    </row>
    <row r="1575" spans="1:13">
      <c r="A1575" s="290"/>
      <c r="B1575" s="290"/>
      <c r="C1575" s="290"/>
      <c r="D1575" s="290"/>
      <c r="E1575" s="290"/>
      <c r="F1575" s="294"/>
      <c r="G1575" s="291" t="s">
        <v>890</v>
      </c>
      <c r="H1575" s="291">
        <f t="shared" si="179"/>
        <v>108</v>
      </c>
      <c r="I1575" s="291">
        <v>16</v>
      </c>
      <c r="J1575" s="323"/>
      <c r="K1575" s="320"/>
      <c r="L1575" s="324" t="str">
        <f t="shared" si="178"/>
        <v>扩展帧CAN消息</v>
      </c>
      <c r="M1575" s="294"/>
    </row>
    <row r="1576" spans="1:13">
      <c r="A1576" s="290"/>
      <c r="B1576" s="290"/>
      <c r="C1576" s="290"/>
      <c r="D1576" s="290"/>
      <c r="E1576" s="290"/>
      <c r="F1576" s="294"/>
      <c r="G1576" s="291" t="s">
        <v>891</v>
      </c>
      <c r="H1576" s="291">
        <f t="shared" si="179"/>
        <v>124</v>
      </c>
      <c r="I1576" s="291">
        <v>16</v>
      </c>
      <c r="J1576" s="323"/>
      <c r="K1576" s="320"/>
      <c r="L1576" s="324"/>
      <c r="M1576" s="294"/>
    </row>
    <row r="1577" spans="1:13">
      <c r="A1577" s="290"/>
      <c r="B1577" s="290"/>
      <c r="C1577" s="290"/>
      <c r="D1577" s="290"/>
      <c r="E1577" s="290"/>
      <c r="F1577" s="294"/>
      <c r="G1577" s="320" t="s">
        <v>120</v>
      </c>
      <c r="H1577" s="291">
        <f t="shared" si="179"/>
        <v>140</v>
      </c>
      <c r="I1577" s="291">
        <v>4</v>
      </c>
      <c r="J1577" s="323"/>
      <c r="K1577" s="320"/>
      <c r="L1577" s="324"/>
      <c r="M1577" s="294"/>
    </row>
    <row r="1578" spans="1:13">
      <c r="A1578" s="290"/>
      <c r="B1578" s="290"/>
      <c r="C1578" s="290"/>
      <c r="D1578" s="290"/>
      <c r="E1578" s="290"/>
      <c r="F1578" s="294"/>
      <c r="G1578" s="291" t="s">
        <v>892</v>
      </c>
      <c r="H1578" s="291">
        <f t="shared" si="179"/>
        <v>144</v>
      </c>
      <c r="I1578" s="291">
        <v>16</v>
      </c>
      <c r="J1578" s="323"/>
      <c r="K1578" s="320"/>
      <c r="L1578" s="324"/>
      <c r="M1578" s="294"/>
    </row>
    <row r="1579" spans="1:13">
      <c r="A1579" s="290"/>
      <c r="B1579" s="290"/>
      <c r="C1579" s="290"/>
      <c r="D1579" s="290"/>
      <c r="E1579" s="290"/>
      <c r="F1579" s="294"/>
      <c r="G1579" s="291" t="s">
        <v>893</v>
      </c>
      <c r="H1579" s="291">
        <f t="shared" si="179"/>
        <v>160</v>
      </c>
      <c r="I1579" s="291">
        <v>16</v>
      </c>
      <c r="J1579" s="323"/>
      <c r="K1579" s="320"/>
      <c r="L1579" s="324"/>
      <c r="M1579" s="294"/>
    </row>
    <row r="1580" spans="1:13">
      <c r="A1580" s="290"/>
      <c r="B1580" s="290"/>
      <c r="C1580" s="290"/>
      <c r="D1580" s="290"/>
      <c r="E1580" s="290"/>
      <c r="F1580" s="294"/>
      <c r="G1580" s="291" t="s">
        <v>894</v>
      </c>
      <c r="H1580" s="291">
        <f t="shared" si="179"/>
        <v>176</v>
      </c>
      <c r="I1580" s="291">
        <v>16</v>
      </c>
      <c r="J1580" s="323"/>
      <c r="K1580" s="320"/>
      <c r="L1580" s="324"/>
      <c r="M1580" s="294"/>
    </row>
    <row r="1581" spans="1:13">
      <c r="A1581" s="290"/>
      <c r="B1581" s="290"/>
      <c r="C1581" s="290"/>
      <c r="D1581" s="290"/>
      <c r="E1581" s="290"/>
      <c r="F1581" s="294"/>
      <c r="G1581" s="291" t="s">
        <v>895</v>
      </c>
      <c r="H1581" s="291">
        <f t="shared" si="179"/>
        <v>192</v>
      </c>
      <c r="I1581" s="291">
        <v>16</v>
      </c>
      <c r="J1581" s="323"/>
      <c r="K1581" s="320"/>
      <c r="L1581" s="324"/>
      <c r="M1581" s="294"/>
    </row>
    <row r="1582" spans="1:13">
      <c r="A1582" s="290"/>
      <c r="B1582" s="290"/>
      <c r="C1582" s="290"/>
      <c r="D1582" s="290"/>
      <c r="E1582" s="290"/>
      <c r="F1582" s="294"/>
      <c r="G1582" s="320" t="s">
        <v>120</v>
      </c>
      <c r="H1582" s="291">
        <f t="shared" si="179"/>
        <v>208</v>
      </c>
      <c r="I1582" s="291">
        <v>4</v>
      </c>
      <c r="J1582" s="323"/>
      <c r="K1582" s="320"/>
      <c r="L1582" s="324"/>
      <c r="M1582" s="294"/>
    </row>
    <row r="1583" spans="1:13">
      <c r="A1583" s="290"/>
      <c r="B1583" s="290"/>
      <c r="C1583" s="290"/>
      <c r="D1583" s="290"/>
      <c r="E1583" s="290"/>
      <c r="F1583" s="294"/>
      <c r="G1583" s="291" t="s">
        <v>896</v>
      </c>
      <c r="H1583" s="291">
        <f t="shared" si="179"/>
        <v>212</v>
      </c>
      <c r="I1583" s="291">
        <v>16</v>
      </c>
      <c r="J1583" s="323"/>
      <c r="K1583" s="320"/>
      <c r="L1583" s="324"/>
      <c r="M1583" s="294"/>
    </row>
    <row r="1584" spans="1:13">
      <c r="A1584" s="290"/>
      <c r="B1584" s="290"/>
      <c r="C1584" s="290"/>
      <c r="D1584" s="290"/>
      <c r="E1584" s="290"/>
      <c r="F1584" s="294"/>
      <c r="G1584" s="291" t="s">
        <v>897</v>
      </c>
      <c r="H1584" s="291">
        <f t="shared" si="179"/>
        <v>228</v>
      </c>
      <c r="I1584" s="291">
        <v>16</v>
      </c>
      <c r="J1584" s="323"/>
      <c r="K1584" s="320"/>
      <c r="L1584" s="324"/>
      <c r="M1584" s="294"/>
    </row>
    <row r="1585" spans="1:13">
      <c r="A1585" s="290"/>
      <c r="B1585" s="290"/>
      <c r="C1585" s="290"/>
      <c r="D1585" s="290"/>
      <c r="E1585" s="290"/>
      <c r="F1585" s="294"/>
      <c r="G1585" s="291" t="s">
        <v>898</v>
      </c>
      <c r="H1585" s="291">
        <f t="shared" si="179"/>
        <v>244</v>
      </c>
      <c r="I1585" s="291">
        <v>16</v>
      </c>
      <c r="J1585" s="323"/>
      <c r="K1585" s="320"/>
      <c r="L1585" s="324"/>
      <c r="M1585" s="294"/>
    </row>
    <row r="1586" spans="1:13">
      <c r="A1586" s="290"/>
      <c r="B1586" s="290"/>
      <c r="C1586" s="290"/>
      <c r="D1586" s="290"/>
      <c r="E1586" s="290"/>
      <c r="F1586" s="294"/>
      <c r="G1586" s="291" t="s">
        <v>899</v>
      </c>
      <c r="H1586" s="291">
        <f t="shared" si="179"/>
        <v>260</v>
      </c>
      <c r="I1586" s="291">
        <v>16</v>
      </c>
      <c r="J1586" s="323"/>
      <c r="K1586" s="320"/>
      <c r="L1586" s="324"/>
      <c r="M1586" s="294"/>
    </row>
    <row r="1587" spans="1:13">
      <c r="A1587" s="290"/>
      <c r="B1587" s="290"/>
      <c r="C1587" s="290"/>
      <c r="D1587" s="290"/>
      <c r="E1587" s="290"/>
      <c r="F1587" s="294"/>
      <c r="G1587" s="320" t="s">
        <v>120</v>
      </c>
      <c r="H1587" s="291">
        <f t="shared" si="179"/>
        <v>276</v>
      </c>
      <c r="I1587" s="291">
        <v>4</v>
      </c>
      <c r="J1587" s="323"/>
      <c r="K1587" s="320"/>
      <c r="L1587" s="324"/>
      <c r="M1587" s="294"/>
    </row>
    <row r="1588" spans="1:13">
      <c r="A1588" s="290"/>
      <c r="B1588" s="290"/>
      <c r="C1588" s="290"/>
      <c r="D1588" s="290"/>
      <c r="E1588" s="290"/>
      <c r="F1588" s="325"/>
      <c r="G1588" s="291" t="s">
        <v>900</v>
      </c>
      <c r="H1588" s="291">
        <f t="shared" si="179"/>
        <v>280</v>
      </c>
      <c r="I1588" s="291">
        <v>16</v>
      </c>
      <c r="J1588" s="323"/>
      <c r="K1588" s="320"/>
      <c r="L1588" s="324" t="str">
        <f>IF(RIGHT(G1588,5)="FRAME","扩展帧CAN消息","")</f>
        <v>扩展帧CAN消息</v>
      </c>
      <c r="M1588" s="325"/>
    </row>
    <row r="1589" spans="1:13">
      <c r="A1589" s="321" t="s">
        <v>1060</v>
      </c>
      <c r="B1589" s="321" t="s">
        <v>1061</v>
      </c>
      <c r="C1589" s="321" t="s">
        <v>877</v>
      </c>
      <c r="D1589" s="321" t="s">
        <v>133</v>
      </c>
      <c r="E1589" s="321">
        <v>7038</v>
      </c>
      <c r="F1589" s="321" t="s">
        <v>86</v>
      </c>
      <c r="G1589" s="326" t="s">
        <v>87</v>
      </c>
      <c r="H1589" s="291">
        <v>0</v>
      </c>
      <c r="I1589" s="291">
        <v>4</v>
      </c>
      <c r="J1589" s="321" t="s">
        <v>119</v>
      </c>
      <c r="K1589" s="321">
        <v>500</v>
      </c>
      <c r="L1589" s="324" t="str">
        <f>IF(RIGHT(G1589,5)="FRAME","扩展帧CAN消息","")</f>
        <v/>
      </c>
      <c r="M1589" s="321">
        <v>1602202</v>
      </c>
    </row>
    <row r="1590" spans="1:13">
      <c r="A1590" s="323"/>
      <c r="B1590" s="323"/>
      <c r="C1590" s="323"/>
      <c r="D1590" s="323"/>
      <c r="E1590" s="323"/>
      <c r="F1590" s="323"/>
      <c r="G1590" s="320" t="s">
        <v>120</v>
      </c>
      <c r="H1590" s="291">
        <f t="shared" ref="H1590:H1634" si="180">H1589+I1589</f>
        <v>4</v>
      </c>
      <c r="I1590" s="291">
        <v>4</v>
      </c>
      <c r="J1590" s="323"/>
      <c r="K1590" s="323"/>
      <c r="L1590" s="324" t="str">
        <f>IF(RIGHT(G1590,5)="FRAME","扩展帧CAN消息","")</f>
        <v/>
      </c>
      <c r="M1590" s="323"/>
    </row>
    <row r="1591" spans="1:13">
      <c r="A1591" s="323"/>
      <c r="B1591" s="323"/>
      <c r="C1591" s="323"/>
      <c r="D1591" s="323"/>
      <c r="E1591" s="323"/>
      <c r="F1591" s="323"/>
      <c r="G1591" s="291" t="s">
        <v>903</v>
      </c>
      <c r="H1591" s="291">
        <f t="shared" si="180"/>
        <v>8</v>
      </c>
      <c r="I1591" s="291">
        <v>16</v>
      </c>
      <c r="J1591" s="323"/>
      <c r="K1591" s="323"/>
      <c r="L1591" s="324" t="str">
        <f t="shared" ref="L1589:L1624" si="181">IF(RIGHT(G1591,5)="FRAME","扩展帧CAN消息","")</f>
        <v>扩展帧CAN消息</v>
      </c>
      <c r="M1591" s="323"/>
    </row>
    <row r="1592" spans="1:13">
      <c r="A1592" s="323"/>
      <c r="B1592" s="323"/>
      <c r="C1592" s="323"/>
      <c r="D1592" s="323"/>
      <c r="E1592" s="323"/>
      <c r="F1592" s="323"/>
      <c r="G1592" s="291" t="s">
        <v>904</v>
      </c>
      <c r="H1592" s="291">
        <f t="shared" si="180"/>
        <v>24</v>
      </c>
      <c r="I1592" s="291">
        <v>16</v>
      </c>
      <c r="J1592" s="323"/>
      <c r="K1592" s="323"/>
      <c r="L1592" s="324" t="str">
        <f t="shared" si="181"/>
        <v>扩展帧CAN消息</v>
      </c>
      <c r="M1592" s="323"/>
    </row>
    <row r="1593" spans="1:13">
      <c r="A1593" s="323"/>
      <c r="B1593" s="323"/>
      <c r="C1593" s="323"/>
      <c r="D1593" s="323"/>
      <c r="E1593" s="323"/>
      <c r="F1593" s="323"/>
      <c r="G1593" s="291" t="s">
        <v>905</v>
      </c>
      <c r="H1593" s="291">
        <f t="shared" si="180"/>
        <v>40</v>
      </c>
      <c r="I1593" s="291">
        <v>16</v>
      </c>
      <c r="J1593" s="323"/>
      <c r="K1593" s="323"/>
      <c r="L1593" s="324" t="str">
        <f t="shared" si="181"/>
        <v>扩展帧CAN消息</v>
      </c>
      <c r="M1593" s="323"/>
    </row>
    <row r="1594" spans="1:13">
      <c r="A1594" s="323"/>
      <c r="B1594" s="323"/>
      <c r="C1594" s="323"/>
      <c r="D1594" s="323"/>
      <c r="E1594" s="323"/>
      <c r="F1594" s="323"/>
      <c r="G1594" s="291" t="s">
        <v>906</v>
      </c>
      <c r="H1594" s="291">
        <f t="shared" si="180"/>
        <v>56</v>
      </c>
      <c r="I1594" s="291">
        <v>16</v>
      </c>
      <c r="J1594" s="323"/>
      <c r="K1594" s="323"/>
      <c r="L1594" s="324" t="str">
        <f t="shared" si="181"/>
        <v>扩展帧CAN消息</v>
      </c>
      <c r="M1594" s="323"/>
    </row>
    <row r="1595" spans="1:13">
      <c r="A1595" s="323"/>
      <c r="B1595" s="323"/>
      <c r="C1595" s="323"/>
      <c r="D1595" s="323"/>
      <c r="E1595" s="323"/>
      <c r="F1595" s="323"/>
      <c r="G1595" s="320" t="s">
        <v>120</v>
      </c>
      <c r="H1595" s="291">
        <f t="shared" si="180"/>
        <v>72</v>
      </c>
      <c r="I1595" s="291">
        <v>4</v>
      </c>
      <c r="J1595" s="323"/>
      <c r="K1595" s="323"/>
      <c r="L1595" s="324" t="str">
        <f t="shared" si="181"/>
        <v/>
      </c>
      <c r="M1595" s="323"/>
    </row>
    <row r="1596" spans="1:13">
      <c r="A1596" s="323"/>
      <c r="B1596" s="323"/>
      <c r="C1596" s="323"/>
      <c r="D1596" s="323"/>
      <c r="E1596" s="323"/>
      <c r="F1596" s="323"/>
      <c r="G1596" s="291" t="s">
        <v>907</v>
      </c>
      <c r="H1596" s="291">
        <f t="shared" si="180"/>
        <v>76</v>
      </c>
      <c r="I1596" s="291">
        <v>16</v>
      </c>
      <c r="J1596" s="323"/>
      <c r="K1596" s="323"/>
      <c r="L1596" s="324" t="str">
        <f t="shared" si="181"/>
        <v>扩展帧CAN消息</v>
      </c>
      <c r="M1596" s="323"/>
    </row>
    <row r="1597" spans="1:13">
      <c r="A1597" s="323"/>
      <c r="B1597" s="323"/>
      <c r="C1597" s="323"/>
      <c r="D1597" s="323"/>
      <c r="E1597" s="323"/>
      <c r="F1597" s="323"/>
      <c r="G1597" s="291" t="s">
        <v>908</v>
      </c>
      <c r="H1597" s="291">
        <f t="shared" si="180"/>
        <v>92</v>
      </c>
      <c r="I1597" s="291">
        <v>16</v>
      </c>
      <c r="J1597" s="323"/>
      <c r="K1597" s="323"/>
      <c r="L1597" s="324" t="str">
        <f t="shared" si="181"/>
        <v>扩展帧CAN消息</v>
      </c>
      <c r="M1597" s="323"/>
    </row>
    <row r="1598" spans="1:13">
      <c r="A1598" s="323"/>
      <c r="B1598" s="323"/>
      <c r="C1598" s="323"/>
      <c r="D1598" s="323"/>
      <c r="E1598" s="323"/>
      <c r="F1598" s="323"/>
      <c r="G1598" s="291" t="s">
        <v>909</v>
      </c>
      <c r="H1598" s="291">
        <f t="shared" si="180"/>
        <v>108</v>
      </c>
      <c r="I1598" s="291">
        <v>16</v>
      </c>
      <c r="J1598" s="323"/>
      <c r="K1598" s="323"/>
      <c r="L1598" s="324" t="str">
        <f t="shared" si="181"/>
        <v>扩展帧CAN消息</v>
      </c>
      <c r="M1598" s="323"/>
    </row>
    <row r="1599" spans="1:13">
      <c r="A1599" s="323"/>
      <c r="B1599" s="323"/>
      <c r="C1599" s="323"/>
      <c r="D1599" s="323"/>
      <c r="E1599" s="323"/>
      <c r="F1599" s="323"/>
      <c r="G1599" s="291" t="s">
        <v>910</v>
      </c>
      <c r="H1599" s="291">
        <f t="shared" si="180"/>
        <v>124</v>
      </c>
      <c r="I1599" s="291">
        <v>16</v>
      </c>
      <c r="J1599" s="323"/>
      <c r="K1599" s="323"/>
      <c r="L1599" s="324" t="str">
        <f t="shared" si="181"/>
        <v>扩展帧CAN消息</v>
      </c>
      <c r="M1599" s="323"/>
    </row>
    <row r="1600" spans="1:13">
      <c r="A1600" s="323"/>
      <c r="B1600" s="323"/>
      <c r="C1600" s="323"/>
      <c r="D1600" s="323"/>
      <c r="E1600" s="323"/>
      <c r="F1600" s="323"/>
      <c r="G1600" s="320" t="s">
        <v>120</v>
      </c>
      <c r="H1600" s="291">
        <f t="shared" si="180"/>
        <v>140</v>
      </c>
      <c r="I1600" s="291">
        <v>4</v>
      </c>
      <c r="J1600" s="323"/>
      <c r="K1600" s="323"/>
      <c r="L1600" s="324" t="str">
        <f t="shared" si="181"/>
        <v/>
      </c>
      <c r="M1600" s="323"/>
    </row>
    <row r="1601" spans="1:13">
      <c r="A1601" s="323"/>
      <c r="B1601" s="323"/>
      <c r="C1601" s="323"/>
      <c r="D1601" s="323"/>
      <c r="E1601" s="323"/>
      <c r="F1601" s="323"/>
      <c r="G1601" s="291" t="s">
        <v>911</v>
      </c>
      <c r="H1601" s="291">
        <f t="shared" si="180"/>
        <v>144</v>
      </c>
      <c r="I1601" s="291">
        <v>16</v>
      </c>
      <c r="J1601" s="323"/>
      <c r="K1601" s="323"/>
      <c r="L1601" s="324" t="str">
        <f t="shared" si="181"/>
        <v>扩展帧CAN消息</v>
      </c>
      <c r="M1601" s="323"/>
    </row>
    <row r="1602" spans="1:13">
      <c r="A1602" s="323"/>
      <c r="B1602" s="323"/>
      <c r="C1602" s="323"/>
      <c r="D1602" s="323"/>
      <c r="E1602" s="323"/>
      <c r="F1602" s="323"/>
      <c r="G1602" s="291" t="s">
        <v>912</v>
      </c>
      <c r="H1602" s="291">
        <f t="shared" si="180"/>
        <v>160</v>
      </c>
      <c r="I1602" s="291">
        <v>16</v>
      </c>
      <c r="J1602" s="323"/>
      <c r="K1602" s="323"/>
      <c r="L1602" s="324" t="str">
        <f t="shared" si="181"/>
        <v>扩展帧CAN消息</v>
      </c>
      <c r="M1602" s="323"/>
    </row>
    <row r="1603" spans="1:13">
      <c r="A1603" s="323"/>
      <c r="B1603" s="323"/>
      <c r="C1603" s="323"/>
      <c r="D1603" s="323"/>
      <c r="E1603" s="323"/>
      <c r="F1603" s="323"/>
      <c r="G1603" s="291" t="s">
        <v>913</v>
      </c>
      <c r="H1603" s="291">
        <f t="shared" si="180"/>
        <v>176</v>
      </c>
      <c r="I1603" s="291">
        <v>16</v>
      </c>
      <c r="J1603" s="323"/>
      <c r="K1603" s="323"/>
      <c r="L1603" s="324" t="str">
        <f t="shared" si="181"/>
        <v>扩展帧CAN消息</v>
      </c>
      <c r="M1603" s="323"/>
    </row>
    <row r="1604" spans="1:13">
      <c r="A1604" s="323"/>
      <c r="B1604" s="323"/>
      <c r="C1604" s="323"/>
      <c r="D1604" s="323"/>
      <c r="E1604" s="323"/>
      <c r="F1604" s="323"/>
      <c r="G1604" s="291" t="s">
        <v>914</v>
      </c>
      <c r="H1604" s="291">
        <f t="shared" si="180"/>
        <v>192</v>
      </c>
      <c r="I1604" s="291">
        <v>16</v>
      </c>
      <c r="J1604" s="323"/>
      <c r="K1604" s="323"/>
      <c r="L1604" s="324" t="str">
        <f t="shared" si="181"/>
        <v>扩展帧CAN消息</v>
      </c>
      <c r="M1604" s="323"/>
    </row>
    <row r="1605" spans="1:13">
      <c r="A1605" s="323"/>
      <c r="B1605" s="323"/>
      <c r="C1605" s="323"/>
      <c r="D1605" s="323"/>
      <c r="E1605" s="323"/>
      <c r="F1605" s="323"/>
      <c r="G1605" s="320" t="s">
        <v>120</v>
      </c>
      <c r="H1605" s="291">
        <f t="shared" si="180"/>
        <v>208</v>
      </c>
      <c r="I1605" s="291">
        <v>4</v>
      </c>
      <c r="J1605" s="323"/>
      <c r="K1605" s="323"/>
      <c r="L1605" s="324" t="str">
        <f t="shared" si="181"/>
        <v/>
      </c>
      <c r="M1605" s="323"/>
    </row>
    <row r="1606" spans="1:13">
      <c r="A1606" s="323"/>
      <c r="B1606" s="323"/>
      <c r="C1606" s="323"/>
      <c r="D1606" s="323"/>
      <c r="E1606" s="323"/>
      <c r="F1606" s="323"/>
      <c r="G1606" s="291" t="s">
        <v>915</v>
      </c>
      <c r="H1606" s="291">
        <f t="shared" si="180"/>
        <v>212</v>
      </c>
      <c r="I1606" s="291">
        <v>16</v>
      </c>
      <c r="J1606" s="323"/>
      <c r="K1606" s="323"/>
      <c r="L1606" s="324" t="str">
        <f t="shared" si="181"/>
        <v>扩展帧CAN消息</v>
      </c>
      <c r="M1606" s="323"/>
    </row>
    <row r="1607" spans="1:13">
      <c r="A1607" s="323"/>
      <c r="B1607" s="323"/>
      <c r="C1607" s="323"/>
      <c r="D1607" s="323"/>
      <c r="E1607" s="323"/>
      <c r="F1607" s="323"/>
      <c r="G1607" s="291" t="s">
        <v>916</v>
      </c>
      <c r="H1607" s="291">
        <f t="shared" si="180"/>
        <v>228</v>
      </c>
      <c r="I1607" s="291">
        <v>16</v>
      </c>
      <c r="J1607" s="323"/>
      <c r="K1607" s="323"/>
      <c r="L1607" s="324" t="str">
        <f t="shared" si="181"/>
        <v>扩展帧CAN消息</v>
      </c>
      <c r="M1607" s="323"/>
    </row>
    <row r="1608" spans="1:13">
      <c r="A1608" s="323"/>
      <c r="B1608" s="323"/>
      <c r="C1608" s="323"/>
      <c r="D1608" s="323"/>
      <c r="E1608" s="323"/>
      <c r="F1608" s="323"/>
      <c r="G1608" s="291" t="s">
        <v>917</v>
      </c>
      <c r="H1608" s="291">
        <f t="shared" si="180"/>
        <v>244</v>
      </c>
      <c r="I1608" s="291">
        <v>16</v>
      </c>
      <c r="J1608" s="323"/>
      <c r="K1608" s="323"/>
      <c r="L1608" s="324" t="str">
        <f t="shared" si="181"/>
        <v>扩展帧CAN消息</v>
      </c>
      <c r="M1608" s="323"/>
    </row>
    <row r="1609" spans="1:13">
      <c r="A1609" s="323"/>
      <c r="B1609" s="323"/>
      <c r="C1609" s="323"/>
      <c r="D1609" s="323"/>
      <c r="E1609" s="323"/>
      <c r="F1609" s="323"/>
      <c r="G1609" s="291" t="s">
        <v>918</v>
      </c>
      <c r="H1609" s="291">
        <f t="shared" si="180"/>
        <v>260</v>
      </c>
      <c r="I1609" s="291">
        <v>16</v>
      </c>
      <c r="J1609" s="323"/>
      <c r="K1609" s="323"/>
      <c r="L1609" s="324" t="str">
        <f t="shared" si="181"/>
        <v>扩展帧CAN消息</v>
      </c>
      <c r="M1609" s="323"/>
    </row>
    <row r="1610" spans="1:13">
      <c r="A1610" s="323"/>
      <c r="B1610" s="323"/>
      <c r="C1610" s="323"/>
      <c r="D1610" s="323"/>
      <c r="E1610" s="323"/>
      <c r="F1610" s="323"/>
      <c r="G1610" s="320" t="s">
        <v>120</v>
      </c>
      <c r="H1610" s="291">
        <f t="shared" si="180"/>
        <v>276</v>
      </c>
      <c r="I1610" s="291">
        <v>4</v>
      </c>
      <c r="J1610" s="323"/>
      <c r="K1610" s="323"/>
      <c r="L1610" s="324" t="str">
        <f t="shared" si="181"/>
        <v/>
      </c>
      <c r="M1610" s="323"/>
    </row>
    <row r="1611" spans="1:13">
      <c r="A1611" s="323"/>
      <c r="B1611" s="323"/>
      <c r="C1611" s="323"/>
      <c r="D1611" s="323"/>
      <c r="E1611" s="323"/>
      <c r="F1611" s="323"/>
      <c r="G1611" s="291" t="s">
        <v>919</v>
      </c>
      <c r="H1611" s="291">
        <f t="shared" si="180"/>
        <v>280</v>
      </c>
      <c r="I1611" s="291">
        <v>16</v>
      </c>
      <c r="J1611" s="323"/>
      <c r="K1611" s="323"/>
      <c r="L1611" s="324" t="str">
        <f t="shared" si="181"/>
        <v>扩展帧CAN消息</v>
      </c>
      <c r="M1611" s="323"/>
    </row>
    <row r="1612" spans="1:13">
      <c r="A1612" s="323"/>
      <c r="B1612" s="323"/>
      <c r="C1612" s="323"/>
      <c r="D1612" s="323"/>
      <c r="E1612" s="323"/>
      <c r="F1612" s="323"/>
      <c r="G1612" s="291" t="s">
        <v>920</v>
      </c>
      <c r="H1612" s="291">
        <f t="shared" si="180"/>
        <v>296</v>
      </c>
      <c r="I1612" s="291">
        <v>16</v>
      </c>
      <c r="J1612" s="323"/>
      <c r="K1612" s="323"/>
      <c r="L1612" s="324" t="str">
        <f t="shared" si="181"/>
        <v>扩展帧CAN消息</v>
      </c>
      <c r="M1612" s="323"/>
    </row>
    <row r="1613" spans="1:13">
      <c r="A1613" s="323"/>
      <c r="B1613" s="323"/>
      <c r="C1613" s="323"/>
      <c r="D1613" s="323"/>
      <c r="E1613" s="323"/>
      <c r="F1613" s="323"/>
      <c r="G1613" s="291" t="s">
        <v>921</v>
      </c>
      <c r="H1613" s="291">
        <f t="shared" si="180"/>
        <v>312</v>
      </c>
      <c r="I1613" s="291">
        <v>16</v>
      </c>
      <c r="J1613" s="323"/>
      <c r="K1613" s="323"/>
      <c r="L1613" s="324" t="str">
        <f t="shared" si="181"/>
        <v>扩展帧CAN消息</v>
      </c>
      <c r="M1613" s="323"/>
    </row>
    <row r="1614" spans="1:13">
      <c r="A1614" s="323"/>
      <c r="B1614" s="323"/>
      <c r="C1614" s="323"/>
      <c r="D1614" s="323"/>
      <c r="E1614" s="323"/>
      <c r="F1614" s="323"/>
      <c r="G1614" s="291" t="s">
        <v>922</v>
      </c>
      <c r="H1614" s="291">
        <f t="shared" si="180"/>
        <v>328</v>
      </c>
      <c r="I1614" s="291">
        <v>16</v>
      </c>
      <c r="J1614" s="323"/>
      <c r="K1614" s="323"/>
      <c r="L1614" s="324" t="str">
        <f t="shared" si="181"/>
        <v>扩展帧CAN消息</v>
      </c>
      <c r="M1614" s="323"/>
    </row>
    <row r="1615" spans="1:13">
      <c r="A1615" s="323"/>
      <c r="B1615" s="323"/>
      <c r="C1615" s="323"/>
      <c r="D1615" s="323"/>
      <c r="E1615" s="323"/>
      <c r="F1615" s="323"/>
      <c r="G1615" s="320" t="s">
        <v>120</v>
      </c>
      <c r="H1615" s="291">
        <f t="shared" si="180"/>
        <v>344</v>
      </c>
      <c r="I1615" s="291">
        <v>4</v>
      </c>
      <c r="J1615" s="323"/>
      <c r="K1615" s="323"/>
      <c r="L1615" s="324" t="str">
        <f t="shared" si="181"/>
        <v/>
      </c>
      <c r="M1615" s="323"/>
    </row>
    <row r="1616" spans="1:13">
      <c r="A1616" s="323"/>
      <c r="B1616" s="323"/>
      <c r="C1616" s="323"/>
      <c r="D1616" s="323"/>
      <c r="E1616" s="323"/>
      <c r="F1616" s="323"/>
      <c r="G1616" s="291" t="s">
        <v>923</v>
      </c>
      <c r="H1616" s="291">
        <f t="shared" si="180"/>
        <v>348</v>
      </c>
      <c r="I1616" s="291">
        <v>16</v>
      </c>
      <c r="J1616" s="323"/>
      <c r="K1616" s="323"/>
      <c r="L1616" s="324" t="str">
        <f t="shared" si="181"/>
        <v>扩展帧CAN消息</v>
      </c>
      <c r="M1616" s="323"/>
    </row>
    <row r="1617" spans="1:13">
      <c r="A1617" s="323"/>
      <c r="B1617" s="323"/>
      <c r="C1617" s="323"/>
      <c r="D1617" s="323"/>
      <c r="E1617" s="323"/>
      <c r="F1617" s="323"/>
      <c r="G1617" s="291" t="s">
        <v>924</v>
      </c>
      <c r="H1617" s="291">
        <f t="shared" si="180"/>
        <v>364</v>
      </c>
      <c r="I1617" s="291">
        <v>16</v>
      </c>
      <c r="J1617" s="323"/>
      <c r="K1617" s="323"/>
      <c r="L1617" s="324" t="str">
        <f t="shared" si="181"/>
        <v>扩展帧CAN消息</v>
      </c>
      <c r="M1617" s="323"/>
    </row>
    <row r="1618" spans="1:13">
      <c r="A1618" s="323"/>
      <c r="B1618" s="323"/>
      <c r="C1618" s="323"/>
      <c r="D1618" s="323"/>
      <c r="E1618" s="323"/>
      <c r="F1618" s="323"/>
      <c r="G1618" s="291" t="s">
        <v>925</v>
      </c>
      <c r="H1618" s="291">
        <f t="shared" si="180"/>
        <v>380</v>
      </c>
      <c r="I1618" s="291">
        <v>16</v>
      </c>
      <c r="J1618" s="323"/>
      <c r="K1618" s="323"/>
      <c r="L1618" s="324" t="str">
        <f t="shared" si="181"/>
        <v>扩展帧CAN消息</v>
      </c>
      <c r="M1618" s="323"/>
    </row>
    <row r="1619" spans="1:13">
      <c r="A1619" s="323"/>
      <c r="B1619" s="323"/>
      <c r="C1619" s="323"/>
      <c r="D1619" s="323"/>
      <c r="E1619" s="323"/>
      <c r="F1619" s="323"/>
      <c r="G1619" s="291" t="s">
        <v>926</v>
      </c>
      <c r="H1619" s="291">
        <f t="shared" si="180"/>
        <v>396</v>
      </c>
      <c r="I1619" s="291">
        <v>16</v>
      </c>
      <c r="J1619" s="323"/>
      <c r="K1619" s="323"/>
      <c r="L1619" s="324" t="str">
        <f t="shared" si="181"/>
        <v>扩展帧CAN消息</v>
      </c>
      <c r="M1619" s="323"/>
    </row>
    <row r="1620" spans="1:13">
      <c r="A1620" s="323"/>
      <c r="B1620" s="323"/>
      <c r="C1620" s="323"/>
      <c r="D1620" s="323"/>
      <c r="E1620" s="323"/>
      <c r="F1620" s="323"/>
      <c r="G1620" s="320" t="s">
        <v>120</v>
      </c>
      <c r="H1620" s="291">
        <f t="shared" si="180"/>
        <v>412</v>
      </c>
      <c r="I1620" s="291">
        <v>4</v>
      </c>
      <c r="J1620" s="323"/>
      <c r="K1620" s="323"/>
      <c r="L1620" s="324" t="str">
        <f t="shared" si="181"/>
        <v/>
      </c>
      <c r="M1620" s="323"/>
    </row>
    <row r="1621" spans="1:13">
      <c r="A1621" s="323"/>
      <c r="B1621" s="323"/>
      <c r="C1621" s="323"/>
      <c r="D1621" s="323"/>
      <c r="E1621" s="323"/>
      <c r="F1621" s="323"/>
      <c r="G1621" s="291" t="s">
        <v>927</v>
      </c>
      <c r="H1621" s="291">
        <f t="shared" si="180"/>
        <v>416</v>
      </c>
      <c r="I1621" s="291">
        <v>16</v>
      </c>
      <c r="J1621" s="323"/>
      <c r="K1621" s="323"/>
      <c r="L1621" s="324" t="str">
        <f t="shared" si="181"/>
        <v>扩展帧CAN消息</v>
      </c>
      <c r="M1621" s="323"/>
    </row>
    <row r="1622" spans="1:13">
      <c r="A1622" s="323"/>
      <c r="B1622" s="323"/>
      <c r="C1622" s="323"/>
      <c r="D1622" s="323"/>
      <c r="E1622" s="323"/>
      <c r="F1622" s="323"/>
      <c r="G1622" s="291" t="s">
        <v>928</v>
      </c>
      <c r="H1622" s="291">
        <f t="shared" si="180"/>
        <v>432</v>
      </c>
      <c r="I1622" s="291">
        <v>16</v>
      </c>
      <c r="J1622" s="323"/>
      <c r="K1622" s="323"/>
      <c r="L1622" s="324" t="str">
        <f t="shared" si="181"/>
        <v>扩展帧CAN消息</v>
      </c>
      <c r="M1622" s="323"/>
    </row>
    <row r="1623" spans="1:13">
      <c r="A1623" s="323"/>
      <c r="B1623" s="323"/>
      <c r="C1623" s="323"/>
      <c r="D1623" s="323"/>
      <c r="E1623" s="323"/>
      <c r="F1623" s="323"/>
      <c r="G1623" s="291" t="s">
        <v>929</v>
      </c>
      <c r="H1623" s="291">
        <f t="shared" si="180"/>
        <v>448</v>
      </c>
      <c r="I1623" s="291">
        <v>16</v>
      </c>
      <c r="J1623" s="323"/>
      <c r="K1623" s="323"/>
      <c r="L1623" s="324" t="str">
        <f t="shared" si="181"/>
        <v>扩展帧CAN消息</v>
      </c>
      <c r="M1623" s="323"/>
    </row>
    <row r="1624" spans="1:13">
      <c r="A1624" s="323"/>
      <c r="B1624" s="323"/>
      <c r="C1624" s="323"/>
      <c r="D1624" s="323"/>
      <c r="E1624" s="323"/>
      <c r="F1624" s="323"/>
      <c r="G1624" s="320" t="s">
        <v>930</v>
      </c>
      <c r="H1624" s="291">
        <f t="shared" si="180"/>
        <v>464</v>
      </c>
      <c r="I1624" s="291">
        <v>16</v>
      </c>
      <c r="J1624" s="323"/>
      <c r="K1624" s="323"/>
      <c r="L1624" s="324" t="str">
        <f t="shared" si="181"/>
        <v>扩展帧CAN消息</v>
      </c>
      <c r="M1624" s="323"/>
    </row>
    <row r="1625" spans="1:13">
      <c r="A1625" s="323"/>
      <c r="B1625" s="323"/>
      <c r="C1625" s="323"/>
      <c r="D1625" s="323"/>
      <c r="E1625" s="323"/>
      <c r="F1625" s="323"/>
      <c r="G1625" s="291" t="s">
        <v>120</v>
      </c>
      <c r="H1625" s="291">
        <f t="shared" si="180"/>
        <v>480</v>
      </c>
      <c r="I1625" s="291">
        <v>4</v>
      </c>
      <c r="J1625" s="323"/>
      <c r="K1625" s="323"/>
      <c r="L1625" s="324" t="str">
        <f t="shared" ref="L1625:L1688" si="182">IF(RIGHT(G1625,5)="FRAME","扩展帧CAN消息","")</f>
        <v/>
      </c>
      <c r="M1625" s="323"/>
    </row>
    <row r="1626" spans="1:13">
      <c r="A1626" s="323"/>
      <c r="B1626" s="323"/>
      <c r="C1626" s="323"/>
      <c r="D1626" s="323"/>
      <c r="E1626" s="323"/>
      <c r="F1626" s="323"/>
      <c r="G1626" s="291" t="s">
        <v>931</v>
      </c>
      <c r="H1626" s="291">
        <f t="shared" si="180"/>
        <v>484</v>
      </c>
      <c r="I1626" s="291">
        <v>16</v>
      </c>
      <c r="J1626" s="323"/>
      <c r="K1626" s="323"/>
      <c r="L1626" s="324" t="str">
        <f t="shared" si="182"/>
        <v>扩展帧CAN消息</v>
      </c>
      <c r="M1626" s="323"/>
    </row>
    <row r="1627" spans="1:13">
      <c r="A1627" s="323"/>
      <c r="B1627" s="323"/>
      <c r="C1627" s="323"/>
      <c r="D1627" s="323"/>
      <c r="E1627" s="323"/>
      <c r="F1627" s="323"/>
      <c r="G1627" s="320" t="s">
        <v>932</v>
      </c>
      <c r="H1627" s="291">
        <f t="shared" si="180"/>
        <v>500</v>
      </c>
      <c r="I1627" s="291">
        <v>16</v>
      </c>
      <c r="J1627" s="323"/>
      <c r="K1627" s="323"/>
      <c r="L1627" s="324" t="str">
        <f t="shared" si="182"/>
        <v>扩展帧CAN消息</v>
      </c>
      <c r="M1627" s="323"/>
    </row>
    <row r="1628" spans="1:13">
      <c r="A1628" s="323"/>
      <c r="B1628" s="323"/>
      <c r="C1628" s="323"/>
      <c r="D1628" s="323"/>
      <c r="E1628" s="323"/>
      <c r="F1628" s="323"/>
      <c r="G1628" s="291" t="s">
        <v>933</v>
      </c>
      <c r="H1628" s="291">
        <f t="shared" si="180"/>
        <v>516</v>
      </c>
      <c r="I1628" s="291">
        <v>16</v>
      </c>
      <c r="J1628" s="323"/>
      <c r="K1628" s="323"/>
      <c r="L1628" s="324" t="str">
        <f t="shared" si="182"/>
        <v>扩展帧CAN消息</v>
      </c>
      <c r="M1628" s="323"/>
    </row>
    <row r="1629" spans="1:13">
      <c r="A1629" s="323"/>
      <c r="B1629" s="323"/>
      <c r="C1629" s="323"/>
      <c r="D1629" s="323"/>
      <c r="E1629" s="323"/>
      <c r="F1629" s="323"/>
      <c r="G1629" s="291" t="s">
        <v>934</v>
      </c>
      <c r="H1629" s="291">
        <f t="shared" si="180"/>
        <v>532</v>
      </c>
      <c r="I1629" s="291">
        <v>16</v>
      </c>
      <c r="J1629" s="323"/>
      <c r="K1629" s="323"/>
      <c r="L1629" s="324" t="str">
        <f t="shared" si="182"/>
        <v>扩展帧CAN消息</v>
      </c>
      <c r="M1629" s="323"/>
    </row>
    <row r="1630" spans="1:13">
      <c r="A1630" s="323"/>
      <c r="B1630" s="323"/>
      <c r="C1630" s="323"/>
      <c r="D1630" s="323"/>
      <c r="E1630" s="323"/>
      <c r="F1630" s="323"/>
      <c r="G1630" s="320" t="s">
        <v>120</v>
      </c>
      <c r="H1630" s="291">
        <f t="shared" si="180"/>
        <v>548</v>
      </c>
      <c r="I1630" s="291">
        <v>4</v>
      </c>
      <c r="J1630" s="323"/>
      <c r="K1630" s="323"/>
      <c r="L1630" s="324" t="str">
        <f t="shared" si="182"/>
        <v/>
      </c>
      <c r="M1630" s="323"/>
    </row>
    <row r="1631" spans="1:13">
      <c r="A1631" s="323"/>
      <c r="B1631" s="323"/>
      <c r="C1631" s="323"/>
      <c r="D1631" s="323"/>
      <c r="E1631" s="323"/>
      <c r="F1631" s="323"/>
      <c r="G1631" s="291" t="s">
        <v>935</v>
      </c>
      <c r="H1631" s="291">
        <f t="shared" si="180"/>
        <v>552</v>
      </c>
      <c r="I1631" s="291">
        <v>16</v>
      </c>
      <c r="J1631" s="323"/>
      <c r="K1631" s="323"/>
      <c r="L1631" s="324" t="str">
        <f t="shared" si="182"/>
        <v>扩展帧CAN消息</v>
      </c>
      <c r="M1631" s="323"/>
    </row>
    <row r="1632" spans="1:13">
      <c r="A1632" s="323"/>
      <c r="B1632" s="323"/>
      <c r="C1632" s="323"/>
      <c r="D1632" s="323"/>
      <c r="E1632" s="323"/>
      <c r="F1632" s="323"/>
      <c r="G1632" s="291" t="s">
        <v>936</v>
      </c>
      <c r="H1632" s="291">
        <f t="shared" si="180"/>
        <v>568</v>
      </c>
      <c r="I1632" s="291">
        <v>16</v>
      </c>
      <c r="J1632" s="323"/>
      <c r="K1632" s="323"/>
      <c r="L1632" s="324" t="str">
        <f t="shared" si="182"/>
        <v>扩展帧CAN消息</v>
      </c>
      <c r="M1632" s="323"/>
    </row>
    <row r="1633" spans="1:13">
      <c r="A1633" s="323"/>
      <c r="B1633" s="323"/>
      <c r="C1633" s="323"/>
      <c r="D1633" s="323"/>
      <c r="E1633" s="323"/>
      <c r="F1633" s="323"/>
      <c r="G1633" s="320" t="s">
        <v>937</v>
      </c>
      <c r="H1633" s="291">
        <f t="shared" si="180"/>
        <v>584</v>
      </c>
      <c r="I1633" s="291">
        <v>16</v>
      </c>
      <c r="J1633" s="323"/>
      <c r="K1633" s="323"/>
      <c r="L1633" s="324" t="str">
        <f t="shared" si="182"/>
        <v>扩展帧CAN消息</v>
      </c>
      <c r="M1633" s="323"/>
    </row>
    <row r="1634" spans="1:13">
      <c r="A1634" s="323"/>
      <c r="B1634" s="323"/>
      <c r="C1634" s="323"/>
      <c r="D1634" s="323"/>
      <c r="E1634" s="323"/>
      <c r="F1634" s="323"/>
      <c r="G1634" s="291" t="s">
        <v>938</v>
      </c>
      <c r="H1634" s="291">
        <f t="shared" si="180"/>
        <v>600</v>
      </c>
      <c r="I1634" s="291">
        <v>16</v>
      </c>
      <c r="J1634" s="323"/>
      <c r="K1634" s="323"/>
      <c r="L1634" s="324" t="str">
        <f t="shared" si="182"/>
        <v>扩展帧CAN消息</v>
      </c>
      <c r="M1634" s="323"/>
    </row>
    <row r="1635" spans="1:13">
      <c r="A1635" s="291" t="s">
        <v>1062</v>
      </c>
      <c r="B1635" s="291" t="s">
        <v>1063</v>
      </c>
      <c r="C1635" s="291" t="s">
        <v>877</v>
      </c>
      <c r="D1635" s="291" t="s">
        <v>133</v>
      </c>
      <c r="E1635" s="291">
        <v>7039</v>
      </c>
      <c r="F1635" s="320" t="s">
        <v>86</v>
      </c>
      <c r="G1635" s="291" t="s">
        <v>134</v>
      </c>
      <c r="H1635" s="291">
        <v>0</v>
      </c>
      <c r="I1635" s="328">
        <v>4</v>
      </c>
      <c r="J1635" s="291" t="s">
        <v>119</v>
      </c>
      <c r="K1635" s="336">
        <v>1000</v>
      </c>
      <c r="L1635" s="324" t="str">
        <f t="shared" si="182"/>
        <v/>
      </c>
      <c r="M1635" s="292">
        <v>1602202</v>
      </c>
    </row>
    <row r="1636" spans="1:13">
      <c r="A1636" s="291"/>
      <c r="B1636" s="291"/>
      <c r="C1636" s="291"/>
      <c r="D1636" s="291"/>
      <c r="E1636" s="291"/>
      <c r="F1636" s="320"/>
      <c r="G1636" s="329" t="s">
        <v>88</v>
      </c>
      <c r="H1636" s="291">
        <f t="shared" ref="H1636:H1699" si="183">H1635+I1635</f>
        <v>4</v>
      </c>
      <c r="I1636" s="328">
        <v>4</v>
      </c>
      <c r="J1636" s="291"/>
      <c r="K1636" s="337"/>
      <c r="L1636" s="324" t="str">
        <f t="shared" si="182"/>
        <v/>
      </c>
      <c r="M1636" s="297"/>
    </row>
    <row r="1637" spans="1:13">
      <c r="A1637" s="291"/>
      <c r="B1637" s="291"/>
      <c r="C1637" s="291"/>
      <c r="D1637" s="291"/>
      <c r="E1637" s="291"/>
      <c r="F1637" s="320"/>
      <c r="G1637" s="291" t="s">
        <v>941</v>
      </c>
      <c r="H1637" s="291">
        <f t="shared" si="183"/>
        <v>8</v>
      </c>
      <c r="I1637" s="328">
        <v>16</v>
      </c>
      <c r="J1637" s="291"/>
      <c r="K1637" s="337"/>
      <c r="L1637" s="324" t="str">
        <f t="shared" si="182"/>
        <v>扩展帧CAN消息</v>
      </c>
      <c r="M1637" s="297"/>
    </row>
    <row r="1638" spans="1:13">
      <c r="A1638" s="291"/>
      <c r="B1638" s="291"/>
      <c r="C1638" s="291"/>
      <c r="D1638" s="291"/>
      <c r="E1638" s="291"/>
      <c r="F1638" s="320"/>
      <c r="G1638" s="291" t="s">
        <v>942</v>
      </c>
      <c r="H1638" s="291">
        <f t="shared" si="183"/>
        <v>24</v>
      </c>
      <c r="I1638" s="328">
        <v>16</v>
      </c>
      <c r="J1638" s="291"/>
      <c r="K1638" s="337"/>
      <c r="L1638" s="324" t="str">
        <f t="shared" si="182"/>
        <v>扩展帧CAN消息</v>
      </c>
      <c r="M1638" s="297"/>
    </row>
    <row r="1639" spans="1:13">
      <c r="A1639" s="291"/>
      <c r="B1639" s="291"/>
      <c r="C1639" s="291"/>
      <c r="D1639" s="291"/>
      <c r="E1639" s="291"/>
      <c r="F1639" s="320"/>
      <c r="G1639" s="291" t="s">
        <v>943</v>
      </c>
      <c r="H1639" s="291">
        <f t="shared" si="183"/>
        <v>40</v>
      </c>
      <c r="I1639" s="328">
        <v>16</v>
      </c>
      <c r="J1639" s="291"/>
      <c r="K1639" s="337"/>
      <c r="L1639" s="324" t="str">
        <f t="shared" si="182"/>
        <v>扩展帧CAN消息</v>
      </c>
      <c r="M1639" s="297"/>
    </row>
    <row r="1640" spans="1:13">
      <c r="A1640" s="291"/>
      <c r="B1640" s="291"/>
      <c r="C1640" s="291"/>
      <c r="D1640" s="291"/>
      <c r="E1640" s="291"/>
      <c r="F1640" s="320"/>
      <c r="G1640" s="291" t="s">
        <v>944</v>
      </c>
      <c r="H1640" s="291">
        <f t="shared" si="183"/>
        <v>56</v>
      </c>
      <c r="I1640" s="328">
        <v>16</v>
      </c>
      <c r="J1640" s="291"/>
      <c r="K1640" s="337"/>
      <c r="L1640" s="324" t="str">
        <f t="shared" si="182"/>
        <v>扩展帧CAN消息</v>
      </c>
      <c r="M1640" s="297"/>
    </row>
    <row r="1641" spans="1:13">
      <c r="A1641" s="291"/>
      <c r="B1641" s="291"/>
      <c r="C1641" s="291"/>
      <c r="D1641" s="291"/>
      <c r="E1641" s="291"/>
      <c r="F1641" s="320"/>
      <c r="G1641" s="329" t="s">
        <v>88</v>
      </c>
      <c r="H1641" s="291">
        <f t="shared" si="183"/>
        <v>72</v>
      </c>
      <c r="I1641" s="328">
        <v>4</v>
      </c>
      <c r="J1641" s="291"/>
      <c r="K1641" s="337"/>
      <c r="L1641" s="324" t="str">
        <f t="shared" si="182"/>
        <v/>
      </c>
      <c r="M1641" s="297"/>
    </row>
    <row r="1642" spans="1:13">
      <c r="A1642" s="291"/>
      <c r="B1642" s="291"/>
      <c r="C1642" s="291"/>
      <c r="D1642" s="291"/>
      <c r="E1642" s="291"/>
      <c r="F1642" s="320"/>
      <c r="G1642" s="291" t="s">
        <v>945</v>
      </c>
      <c r="H1642" s="291">
        <f t="shared" si="183"/>
        <v>76</v>
      </c>
      <c r="I1642" s="328">
        <v>16</v>
      </c>
      <c r="J1642" s="291"/>
      <c r="K1642" s="337"/>
      <c r="L1642" s="324" t="str">
        <f t="shared" si="182"/>
        <v>扩展帧CAN消息</v>
      </c>
      <c r="M1642" s="297"/>
    </row>
    <row r="1643" spans="1:13">
      <c r="A1643" s="291"/>
      <c r="B1643" s="291"/>
      <c r="C1643" s="291"/>
      <c r="D1643" s="291"/>
      <c r="E1643" s="291"/>
      <c r="F1643" s="320"/>
      <c r="G1643" s="291" t="s">
        <v>946</v>
      </c>
      <c r="H1643" s="291">
        <f t="shared" si="183"/>
        <v>92</v>
      </c>
      <c r="I1643" s="328">
        <v>16</v>
      </c>
      <c r="J1643" s="291"/>
      <c r="K1643" s="337"/>
      <c r="L1643" s="324" t="str">
        <f t="shared" si="182"/>
        <v>扩展帧CAN消息</v>
      </c>
      <c r="M1643" s="297"/>
    </row>
    <row r="1644" spans="1:13">
      <c r="A1644" s="291"/>
      <c r="B1644" s="291"/>
      <c r="C1644" s="291"/>
      <c r="D1644" s="291"/>
      <c r="E1644" s="291"/>
      <c r="F1644" s="320"/>
      <c r="G1644" s="291" t="s">
        <v>947</v>
      </c>
      <c r="H1644" s="291">
        <f t="shared" si="183"/>
        <v>108</v>
      </c>
      <c r="I1644" s="328">
        <v>16</v>
      </c>
      <c r="J1644" s="291"/>
      <c r="K1644" s="337"/>
      <c r="L1644" s="324" t="str">
        <f t="shared" si="182"/>
        <v>扩展帧CAN消息</v>
      </c>
      <c r="M1644" s="297"/>
    </row>
    <row r="1645" spans="1:13">
      <c r="A1645" s="291"/>
      <c r="B1645" s="291"/>
      <c r="C1645" s="291"/>
      <c r="D1645" s="291"/>
      <c r="E1645" s="291"/>
      <c r="F1645" s="320"/>
      <c r="G1645" s="291" t="s">
        <v>948</v>
      </c>
      <c r="H1645" s="291">
        <f t="shared" si="183"/>
        <v>124</v>
      </c>
      <c r="I1645" s="328">
        <v>16</v>
      </c>
      <c r="J1645" s="291"/>
      <c r="K1645" s="337"/>
      <c r="L1645" s="324" t="str">
        <f t="shared" si="182"/>
        <v>扩展帧CAN消息</v>
      </c>
      <c r="M1645" s="297"/>
    </row>
    <row r="1646" spans="1:13">
      <c r="A1646" s="291"/>
      <c r="B1646" s="291"/>
      <c r="C1646" s="291"/>
      <c r="D1646" s="291"/>
      <c r="E1646" s="291"/>
      <c r="F1646" s="320"/>
      <c r="G1646" s="329" t="s">
        <v>88</v>
      </c>
      <c r="H1646" s="291">
        <f t="shared" si="183"/>
        <v>140</v>
      </c>
      <c r="I1646" s="328">
        <v>4</v>
      </c>
      <c r="J1646" s="291"/>
      <c r="K1646" s="337"/>
      <c r="L1646" s="324" t="str">
        <f t="shared" si="182"/>
        <v/>
      </c>
      <c r="M1646" s="297"/>
    </row>
    <row r="1647" spans="1:13">
      <c r="A1647" s="291"/>
      <c r="B1647" s="291"/>
      <c r="C1647" s="291"/>
      <c r="D1647" s="291"/>
      <c r="E1647" s="291"/>
      <c r="F1647" s="320"/>
      <c r="G1647" s="291" t="s">
        <v>949</v>
      </c>
      <c r="H1647" s="291">
        <f t="shared" si="183"/>
        <v>144</v>
      </c>
      <c r="I1647" s="328">
        <v>16</v>
      </c>
      <c r="J1647" s="291"/>
      <c r="K1647" s="337"/>
      <c r="L1647" s="324" t="str">
        <f t="shared" si="182"/>
        <v>扩展帧CAN消息</v>
      </c>
      <c r="M1647" s="297"/>
    </row>
    <row r="1648" spans="1:13">
      <c r="A1648" s="291"/>
      <c r="B1648" s="291"/>
      <c r="C1648" s="291"/>
      <c r="D1648" s="291"/>
      <c r="E1648" s="291"/>
      <c r="F1648" s="320"/>
      <c r="G1648" s="291" t="s">
        <v>950</v>
      </c>
      <c r="H1648" s="291">
        <f t="shared" si="183"/>
        <v>160</v>
      </c>
      <c r="I1648" s="328">
        <v>16</v>
      </c>
      <c r="J1648" s="291"/>
      <c r="K1648" s="337"/>
      <c r="L1648" s="324" t="str">
        <f t="shared" si="182"/>
        <v>扩展帧CAN消息</v>
      </c>
      <c r="M1648" s="297"/>
    </row>
    <row r="1649" spans="1:13">
      <c r="A1649" s="291"/>
      <c r="B1649" s="291"/>
      <c r="C1649" s="291"/>
      <c r="D1649" s="291"/>
      <c r="E1649" s="291"/>
      <c r="F1649" s="320"/>
      <c r="G1649" s="291" t="s">
        <v>951</v>
      </c>
      <c r="H1649" s="291">
        <f t="shared" si="183"/>
        <v>176</v>
      </c>
      <c r="I1649" s="328">
        <v>16</v>
      </c>
      <c r="J1649" s="291"/>
      <c r="K1649" s="337"/>
      <c r="L1649" s="324" t="str">
        <f t="shared" si="182"/>
        <v>扩展帧CAN消息</v>
      </c>
      <c r="M1649" s="297"/>
    </row>
    <row r="1650" spans="1:13">
      <c r="A1650" s="291"/>
      <c r="B1650" s="291"/>
      <c r="C1650" s="291"/>
      <c r="D1650" s="291"/>
      <c r="E1650" s="291"/>
      <c r="F1650" s="320"/>
      <c r="G1650" s="291" t="s">
        <v>952</v>
      </c>
      <c r="H1650" s="291">
        <f t="shared" si="183"/>
        <v>192</v>
      </c>
      <c r="I1650" s="328">
        <v>16</v>
      </c>
      <c r="J1650" s="291"/>
      <c r="K1650" s="337"/>
      <c r="L1650" s="324" t="str">
        <f t="shared" si="182"/>
        <v>扩展帧CAN消息</v>
      </c>
      <c r="M1650" s="297"/>
    </row>
    <row r="1651" spans="1:13">
      <c r="A1651" s="291"/>
      <c r="B1651" s="291"/>
      <c r="C1651" s="291"/>
      <c r="D1651" s="291"/>
      <c r="E1651" s="291"/>
      <c r="F1651" s="320"/>
      <c r="G1651" s="329" t="s">
        <v>88</v>
      </c>
      <c r="H1651" s="291">
        <f t="shared" si="183"/>
        <v>208</v>
      </c>
      <c r="I1651" s="328">
        <v>4</v>
      </c>
      <c r="J1651" s="291"/>
      <c r="K1651" s="337"/>
      <c r="L1651" s="324" t="str">
        <f t="shared" si="182"/>
        <v/>
      </c>
      <c r="M1651" s="297"/>
    </row>
    <row r="1652" spans="1:13">
      <c r="A1652" s="291"/>
      <c r="B1652" s="291"/>
      <c r="C1652" s="291"/>
      <c r="D1652" s="291"/>
      <c r="E1652" s="291"/>
      <c r="F1652" s="320"/>
      <c r="G1652" s="291" t="s">
        <v>953</v>
      </c>
      <c r="H1652" s="291">
        <f t="shared" si="183"/>
        <v>212</v>
      </c>
      <c r="I1652" s="328">
        <v>16</v>
      </c>
      <c r="J1652" s="291"/>
      <c r="K1652" s="337"/>
      <c r="L1652" s="324" t="str">
        <f t="shared" si="182"/>
        <v>扩展帧CAN消息</v>
      </c>
      <c r="M1652" s="297"/>
    </row>
    <row r="1653" spans="1:13">
      <c r="A1653" s="291"/>
      <c r="B1653" s="291"/>
      <c r="C1653" s="291"/>
      <c r="D1653" s="291"/>
      <c r="E1653" s="291"/>
      <c r="F1653" s="320"/>
      <c r="G1653" s="291" t="s">
        <v>954</v>
      </c>
      <c r="H1653" s="291">
        <f t="shared" si="183"/>
        <v>228</v>
      </c>
      <c r="I1653" s="328">
        <v>16</v>
      </c>
      <c r="J1653" s="291"/>
      <c r="K1653" s="337"/>
      <c r="L1653" s="324" t="str">
        <f t="shared" si="182"/>
        <v>扩展帧CAN消息</v>
      </c>
      <c r="M1653" s="297"/>
    </row>
    <row r="1654" spans="1:13">
      <c r="A1654" s="291"/>
      <c r="B1654" s="291"/>
      <c r="C1654" s="291"/>
      <c r="D1654" s="291"/>
      <c r="E1654" s="291"/>
      <c r="F1654" s="320"/>
      <c r="G1654" s="291" t="s">
        <v>955</v>
      </c>
      <c r="H1654" s="291">
        <f t="shared" si="183"/>
        <v>244</v>
      </c>
      <c r="I1654" s="328">
        <v>16</v>
      </c>
      <c r="J1654" s="291"/>
      <c r="K1654" s="337"/>
      <c r="L1654" s="324" t="str">
        <f t="shared" si="182"/>
        <v>扩展帧CAN消息</v>
      </c>
      <c r="M1654" s="297"/>
    </row>
    <row r="1655" spans="1:13">
      <c r="A1655" s="291"/>
      <c r="B1655" s="291"/>
      <c r="C1655" s="291"/>
      <c r="D1655" s="291"/>
      <c r="E1655" s="291"/>
      <c r="F1655" s="320"/>
      <c r="G1655" s="291" t="s">
        <v>956</v>
      </c>
      <c r="H1655" s="291">
        <f t="shared" si="183"/>
        <v>260</v>
      </c>
      <c r="I1655" s="328">
        <v>16</v>
      </c>
      <c r="J1655" s="291"/>
      <c r="K1655" s="337"/>
      <c r="L1655" s="324" t="str">
        <f t="shared" si="182"/>
        <v>扩展帧CAN消息</v>
      </c>
      <c r="M1655" s="297"/>
    </row>
    <row r="1656" spans="1:13">
      <c r="A1656" s="291"/>
      <c r="B1656" s="291"/>
      <c r="C1656" s="291"/>
      <c r="D1656" s="291"/>
      <c r="E1656" s="291"/>
      <c r="F1656" s="320"/>
      <c r="G1656" s="329" t="s">
        <v>88</v>
      </c>
      <c r="H1656" s="291">
        <f t="shared" si="183"/>
        <v>276</v>
      </c>
      <c r="I1656" s="328">
        <v>4</v>
      </c>
      <c r="J1656" s="291"/>
      <c r="K1656" s="337"/>
      <c r="L1656" s="324" t="str">
        <f t="shared" si="182"/>
        <v/>
      </c>
      <c r="M1656" s="297"/>
    </row>
    <row r="1657" spans="1:13">
      <c r="A1657" s="291"/>
      <c r="B1657" s="291"/>
      <c r="C1657" s="291"/>
      <c r="D1657" s="291"/>
      <c r="E1657" s="291"/>
      <c r="F1657" s="320"/>
      <c r="G1657" s="291" t="s">
        <v>957</v>
      </c>
      <c r="H1657" s="291">
        <f t="shared" si="183"/>
        <v>280</v>
      </c>
      <c r="I1657" s="328">
        <v>16</v>
      </c>
      <c r="J1657" s="291"/>
      <c r="K1657" s="337"/>
      <c r="L1657" s="324" t="str">
        <f t="shared" si="182"/>
        <v>扩展帧CAN消息</v>
      </c>
      <c r="M1657" s="297"/>
    </row>
    <row r="1658" spans="1:13">
      <c r="A1658" s="291"/>
      <c r="B1658" s="291"/>
      <c r="C1658" s="291"/>
      <c r="D1658" s="291"/>
      <c r="E1658" s="291"/>
      <c r="F1658" s="320"/>
      <c r="G1658" s="291" t="s">
        <v>958</v>
      </c>
      <c r="H1658" s="291">
        <f t="shared" si="183"/>
        <v>296</v>
      </c>
      <c r="I1658" s="328">
        <v>16</v>
      </c>
      <c r="J1658" s="291"/>
      <c r="K1658" s="337"/>
      <c r="L1658" s="324" t="str">
        <f t="shared" si="182"/>
        <v>扩展帧CAN消息</v>
      </c>
      <c r="M1658" s="297"/>
    </row>
    <row r="1659" spans="1:13">
      <c r="A1659" s="291"/>
      <c r="B1659" s="291"/>
      <c r="C1659" s="291"/>
      <c r="D1659" s="291"/>
      <c r="E1659" s="291"/>
      <c r="F1659" s="320"/>
      <c r="G1659" s="291" t="s">
        <v>959</v>
      </c>
      <c r="H1659" s="291">
        <f t="shared" si="183"/>
        <v>312</v>
      </c>
      <c r="I1659" s="328">
        <v>16</v>
      </c>
      <c r="J1659" s="291"/>
      <c r="K1659" s="337"/>
      <c r="L1659" s="324" t="str">
        <f t="shared" si="182"/>
        <v>扩展帧CAN消息</v>
      </c>
      <c r="M1659" s="297"/>
    </row>
    <row r="1660" spans="1:13">
      <c r="A1660" s="291"/>
      <c r="B1660" s="291"/>
      <c r="C1660" s="291"/>
      <c r="D1660" s="291"/>
      <c r="E1660" s="291"/>
      <c r="F1660" s="320"/>
      <c r="G1660" s="291" t="s">
        <v>960</v>
      </c>
      <c r="H1660" s="291">
        <f t="shared" si="183"/>
        <v>328</v>
      </c>
      <c r="I1660" s="328">
        <v>16</v>
      </c>
      <c r="J1660" s="291"/>
      <c r="K1660" s="337"/>
      <c r="L1660" s="324" t="str">
        <f t="shared" si="182"/>
        <v>扩展帧CAN消息</v>
      </c>
      <c r="M1660" s="297"/>
    </row>
    <row r="1661" spans="1:13">
      <c r="A1661" s="291"/>
      <c r="B1661" s="291"/>
      <c r="C1661" s="291"/>
      <c r="D1661" s="291"/>
      <c r="E1661" s="291"/>
      <c r="F1661" s="320"/>
      <c r="G1661" s="329" t="s">
        <v>88</v>
      </c>
      <c r="H1661" s="291">
        <f t="shared" si="183"/>
        <v>344</v>
      </c>
      <c r="I1661" s="328">
        <v>4</v>
      </c>
      <c r="J1661" s="291"/>
      <c r="K1661" s="337"/>
      <c r="L1661" s="324" t="str">
        <f t="shared" si="182"/>
        <v/>
      </c>
      <c r="M1661" s="297"/>
    </row>
    <row r="1662" spans="1:13">
      <c r="A1662" s="291"/>
      <c r="B1662" s="291"/>
      <c r="C1662" s="291"/>
      <c r="D1662" s="291"/>
      <c r="E1662" s="291"/>
      <c r="F1662" s="320"/>
      <c r="G1662" s="291" t="s">
        <v>961</v>
      </c>
      <c r="H1662" s="291">
        <f t="shared" si="183"/>
        <v>348</v>
      </c>
      <c r="I1662" s="328">
        <v>16</v>
      </c>
      <c r="J1662" s="291"/>
      <c r="K1662" s="337"/>
      <c r="L1662" s="324" t="str">
        <f t="shared" si="182"/>
        <v>扩展帧CAN消息</v>
      </c>
      <c r="M1662" s="297"/>
    </row>
    <row r="1663" spans="1:13">
      <c r="A1663" s="291"/>
      <c r="B1663" s="291"/>
      <c r="C1663" s="291"/>
      <c r="D1663" s="291"/>
      <c r="E1663" s="291"/>
      <c r="F1663" s="320"/>
      <c r="G1663" s="291" t="s">
        <v>962</v>
      </c>
      <c r="H1663" s="291">
        <f t="shared" si="183"/>
        <v>364</v>
      </c>
      <c r="I1663" s="328">
        <v>16</v>
      </c>
      <c r="J1663" s="291"/>
      <c r="K1663" s="337"/>
      <c r="L1663" s="324" t="str">
        <f t="shared" si="182"/>
        <v>扩展帧CAN消息</v>
      </c>
      <c r="M1663" s="297"/>
    </row>
    <row r="1664" spans="1:13">
      <c r="A1664" s="291"/>
      <c r="B1664" s="291"/>
      <c r="C1664" s="291"/>
      <c r="D1664" s="291"/>
      <c r="E1664" s="291"/>
      <c r="F1664" s="320"/>
      <c r="G1664" s="291" t="s">
        <v>963</v>
      </c>
      <c r="H1664" s="291">
        <f t="shared" si="183"/>
        <v>380</v>
      </c>
      <c r="I1664" s="328">
        <v>16</v>
      </c>
      <c r="J1664" s="291"/>
      <c r="K1664" s="337"/>
      <c r="L1664" s="324" t="str">
        <f t="shared" si="182"/>
        <v>扩展帧CAN消息</v>
      </c>
      <c r="M1664" s="297"/>
    </row>
    <row r="1665" spans="1:13">
      <c r="A1665" s="291"/>
      <c r="B1665" s="291"/>
      <c r="C1665" s="291"/>
      <c r="D1665" s="291"/>
      <c r="E1665" s="291"/>
      <c r="F1665" s="320"/>
      <c r="G1665" s="291" t="s">
        <v>964</v>
      </c>
      <c r="H1665" s="291">
        <f t="shared" si="183"/>
        <v>396</v>
      </c>
      <c r="I1665" s="328">
        <v>16</v>
      </c>
      <c r="J1665" s="291"/>
      <c r="K1665" s="337"/>
      <c r="L1665" s="324" t="str">
        <f t="shared" si="182"/>
        <v>扩展帧CAN消息</v>
      </c>
      <c r="M1665" s="297"/>
    </row>
    <row r="1666" spans="1:13">
      <c r="A1666" s="291"/>
      <c r="B1666" s="291"/>
      <c r="C1666" s="291"/>
      <c r="D1666" s="291"/>
      <c r="E1666" s="291"/>
      <c r="F1666" s="320"/>
      <c r="G1666" s="329" t="s">
        <v>88</v>
      </c>
      <c r="H1666" s="291">
        <f t="shared" si="183"/>
        <v>412</v>
      </c>
      <c r="I1666" s="328">
        <v>4</v>
      </c>
      <c r="J1666" s="291"/>
      <c r="K1666" s="337"/>
      <c r="L1666" s="324" t="str">
        <f t="shared" si="182"/>
        <v/>
      </c>
      <c r="M1666" s="297"/>
    </row>
    <row r="1667" spans="1:13">
      <c r="A1667" s="291"/>
      <c r="B1667" s="291"/>
      <c r="C1667" s="291"/>
      <c r="D1667" s="291"/>
      <c r="E1667" s="291"/>
      <c r="F1667" s="320"/>
      <c r="G1667" s="291" t="s">
        <v>965</v>
      </c>
      <c r="H1667" s="291">
        <f t="shared" si="183"/>
        <v>416</v>
      </c>
      <c r="I1667" s="328">
        <v>16</v>
      </c>
      <c r="J1667" s="291"/>
      <c r="K1667" s="337"/>
      <c r="L1667" s="324" t="str">
        <f t="shared" si="182"/>
        <v>扩展帧CAN消息</v>
      </c>
      <c r="M1667" s="297"/>
    </row>
    <row r="1668" spans="1:13">
      <c r="A1668" s="291"/>
      <c r="B1668" s="291"/>
      <c r="C1668" s="291"/>
      <c r="D1668" s="291"/>
      <c r="E1668" s="291"/>
      <c r="F1668" s="320"/>
      <c r="G1668" s="291" t="s">
        <v>966</v>
      </c>
      <c r="H1668" s="291">
        <f t="shared" si="183"/>
        <v>432</v>
      </c>
      <c r="I1668" s="328">
        <v>16</v>
      </c>
      <c r="J1668" s="291"/>
      <c r="K1668" s="337"/>
      <c r="L1668" s="324" t="str">
        <f t="shared" si="182"/>
        <v>扩展帧CAN消息</v>
      </c>
      <c r="M1668" s="297"/>
    </row>
    <row r="1669" spans="1:13">
      <c r="A1669" s="291"/>
      <c r="B1669" s="291"/>
      <c r="C1669" s="291"/>
      <c r="D1669" s="291"/>
      <c r="E1669" s="291"/>
      <c r="F1669" s="320"/>
      <c r="G1669" s="291" t="s">
        <v>967</v>
      </c>
      <c r="H1669" s="291">
        <f t="shared" si="183"/>
        <v>448</v>
      </c>
      <c r="I1669" s="328">
        <v>16</v>
      </c>
      <c r="J1669" s="291"/>
      <c r="K1669" s="337"/>
      <c r="L1669" s="324" t="str">
        <f t="shared" si="182"/>
        <v>扩展帧CAN消息</v>
      </c>
      <c r="M1669" s="297"/>
    </row>
    <row r="1670" spans="1:13">
      <c r="A1670" s="291"/>
      <c r="B1670" s="291"/>
      <c r="C1670" s="291"/>
      <c r="D1670" s="291"/>
      <c r="E1670" s="291"/>
      <c r="F1670" s="320"/>
      <c r="G1670" s="291" t="s">
        <v>968</v>
      </c>
      <c r="H1670" s="291">
        <f t="shared" si="183"/>
        <v>464</v>
      </c>
      <c r="I1670" s="328">
        <v>16</v>
      </c>
      <c r="J1670" s="291"/>
      <c r="K1670" s="337"/>
      <c r="L1670" s="324" t="str">
        <f t="shared" si="182"/>
        <v>扩展帧CAN消息</v>
      </c>
      <c r="M1670" s="297"/>
    </row>
    <row r="1671" spans="1:13">
      <c r="A1671" s="291"/>
      <c r="B1671" s="291"/>
      <c r="C1671" s="291"/>
      <c r="D1671" s="291"/>
      <c r="E1671" s="291"/>
      <c r="F1671" s="320"/>
      <c r="G1671" s="329" t="s">
        <v>88</v>
      </c>
      <c r="H1671" s="291">
        <f t="shared" si="183"/>
        <v>480</v>
      </c>
      <c r="I1671" s="328">
        <v>4</v>
      </c>
      <c r="J1671" s="291"/>
      <c r="K1671" s="337"/>
      <c r="L1671" s="324" t="str">
        <f t="shared" si="182"/>
        <v/>
      </c>
      <c r="M1671" s="297"/>
    </row>
    <row r="1672" spans="1:13">
      <c r="A1672" s="291"/>
      <c r="B1672" s="291"/>
      <c r="C1672" s="291"/>
      <c r="D1672" s="291"/>
      <c r="E1672" s="291"/>
      <c r="F1672" s="320"/>
      <c r="G1672" s="291" t="s">
        <v>969</v>
      </c>
      <c r="H1672" s="291">
        <f t="shared" si="183"/>
        <v>484</v>
      </c>
      <c r="I1672" s="328">
        <v>16</v>
      </c>
      <c r="J1672" s="291"/>
      <c r="K1672" s="337"/>
      <c r="L1672" s="324" t="str">
        <f t="shared" si="182"/>
        <v>扩展帧CAN消息</v>
      </c>
      <c r="M1672" s="297"/>
    </row>
    <row r="1673" spans="1:13">
      <c r="A1673" s="291"/>
      <c r="B1673" s="291"/>
      <c r="C1673" s="291"/>
      <c r="D1673" s="291"/>
      <c r="E1673" s="291"/>
      <c r="F1673" s="320"/>
      <c r="G1673" s="291" t="s">
        <v>970</v>
      </c>
      <c r="H1673" s="291">
        <f t="shared" si="183"/>
        <v>500</v>
      </c>
      <c r="I1673" s="328">
        <v>16</v>
      </c>
      <c r="J1673" s="291"/>
      <c r="K1673" s="337"/>
      <c r="L1673" s="324" t="str">
        <f t="shared" si="182"/>
        <v>扩展帧CAN消息</v>
      </c>
      <c r="M1673" s="297"/>
    </row>
    <row r="1674" spans="1:13">
      <c r="A1674" s="291"/>
      <c r="B1674" s="291"/>
      <c r="C1674" s="291"/>
      <c r="D1674" s="291"/>
      <c r="E1674" s="291"/>
      <c r="F1674" s="320"/>
      <c r="G1674" s="291" t="s">
        <v>971</v>
      </c>
      <c r="H1674" s="291">
        <f t="shared" si="183"/>
        <v>516</v>
      </c>
      <c r="I1674" s="328">
        <v>16</v>
      </c>
      <c r="J1674" s="291"/>
      <c r="K1674" s="337"/>
      <c r="L1674" s="324" t="str">
        <f t="shared" si="182"/>
        <v>扩展帧CAN消息</v>
      </c>
      <c r="M1674" s="297"/>
    </row>
    <row r="1675" spans="1:13">
      <c r="A1675" s="291"/>
      <c r="B1675" s="291"/>
      <c r="C1675" s="291"/>
      <c r="D1675" s="291"/>
      <c r="E1675" s="291"/>
      <c r="F1675" s="320"/>
      <c r="G1675" s="291" t="s">
        <v>972</v>
      </c>
      <c r="H1675" s="291">
        <f t="shared" si="183"/>
        <v>532</v>
      </c>
      <c r="I1675" s="328">
        <v>16</v>
      </c>
      <c r="J1675" s="291"/>
      <c r="K1675" s="337"/>
      <c r="L1675" s="324" t="str">
        <f t="shared" si="182"/>
        <v>扩展帧CAN消息</v>
      </c>
      <c r="M1675" s="297"/>
    </row>
    <row r="1676" spans="1:13">
      <c r="A1676" s="291"/>
      <c r="B1676" s="291"/>
      <c r="C1676" s="291"/>
      <c r="D1676" s="291"/>
      <c r="E1676" s="291"/>
      <c r="F1676" s="320"/>
      <c r="G1676" s="329" t="s">
        <v>88</v>
      </c>
      <c r="H1676" s="291">
        <f t="shared" si="183"/>
        <v>548</v>
      </c>
      <c r="I1676" s="328">
        <v>4</v>
      </c>
      <c r="J1676" s="291"/>
      <c r="K1676" s="337"/>
      <c r="L1676" s="324" t="str">
        <f t="shared" si="182"/>
        <v/>
      </c>
      <c r="M1676" s="297"/>
    </row>
    <row r="1677" spans="1:13">
      <c r="A1677" s="291"/>
      <c r="B1677" s="291"/>
      <c r="C1677" s="291"/>
      <c r="D1677" s="291"/>
      <c r="E1677" s="291"/>
      <c r="F1677" s="320"/>
      <c r="G1677" s="291" t="s">
        <v>973</v>
      </c>
      <c r="H1677" s="291">
        <f t="shared" si="183"/>
        <v>552</v>
      </c>
      <c r="I1677" s="328">
        <v>16</v>
      </c>
      <c r="J1677" s="291"/>
      <c r="K1677" s="337"/>
      <c r="L1677" s="324" t="str">
        <f t="shared" si="182"/>
        <v>扩展帧CAN消息</v>
      </c>
      <c r="M1677" s="297"/>
    </row>
    <row r="1678" spans="1:13">
      <c r="A1678" s="291"/>
      <c r="B1678" s="291"/>
      <c r="C1678" s="291"/>
      <c r="D1678" s="291"/>
      <c r="E1678" s="291"/>
      <c r="F1678" s="320"/>
      <c r="G1678" s="291" t="s">
        <v>974</v>
      </c>
      <c r="H1678" s="291">
        <f t="shared" si="183"/>
        <v>568</v>
      </c>
      <c r="I1678" s="328">
        <v>16</v>
      </c>
      <c r="J1678" s="291"/>
      <c r="K1678" s="337"/>
      <c r="L1678" s="324" t="str">
        <f t="shared" si="182"/>
        <v>扩展帧CAN消息</v>
      </c>
      <c r="M1678" s="297"/>
    </row>
    <row r="1679" spans="1:13">
      <c r="A1679" s="291"/>
      <c r="B1679" s="291"/>
      <c r="C1679" s="291"/>
      <c r="D1679" s="291"/>
      <c r="E1679" s="291"/>
      <c r="F1679" s="320"/>
      <c r="G1679" s="291" t="s">
        <v>975</v>
      </c>
      <c r="H1679" s="291">
        <f t="shared" si="183"/>
        <v>584</v>
      </c>
      <c r="I1679" s="328">
        <v>16</v>
      </c>
      <c r="J1679" s="291"/>
      <c r="K1679" s="337"/>
      <c r="L1679" s="324" t="str">
        <f t="shared" si="182"/>
        <v>扩展帧CAN消息</v>
      </c>
      <c r="M1679" s="297"/>
    </row>
    <row r="1680" spans="1:13">
      <c r="A1680" s="291"/>
      <c r="B1680" s="291"/>
      <c r="C1680" s="291"/>
      <c r="D1680" s="291"/>
      <c r="E1680" s="291"/>
      <c r="F1680" s="320"/>
      <c r="G1680" s="291" t="s">
        <v>976</v>
      </c>
      <c r="H1680" s="291">
        <f t="shared" si="183"/>
        <v>600</v>
      </c>
      <c r="I1680" s="328">
        <v>16</v>
      </c>
      <c r="J1680" s="291"/>
      <c r="K1680" s="337"/>
      <c r="L1680" s="324" t="str">
        <f t="shared" si="182"/>
        <v>扩展帧CAN消息</v>
      </c>
      <c r="M1680" s="297"/>
    </row>
    <row r="1681" spans="1:13">
      <c r="A1681" s="291"/>
      <c r="B1681" s="291"/>
      <c r="C1681" s="291"/>
      <c r="D1681" s="291"/>
      <c r="E1681" s="291"/>
      <c r="F1681" s="320"/>
      <c r="G1681" s="329" t="s">
        <v>88</v>
      </c>
      <c r="H1681" s="291">
        <f t="shared" si="183"/>
        <v>616</v>
      </c>
      <c r="I1681" s="328">
        <v>4</v>
      </c>
      <c r="J1681" s="291"/>
      <c r="K1681" s="337"/>
      <c r="L1681" s="324" t="str">
        <f t="shared" si="182"/>
        <v/>
      </c>
      <c r="M1681" s="297"/>
    </row>
    <row r="1682" spans="1:13">
      <c r="A1682" s="291"/>
      <c r="B1682" s="291"/>
      <c r="C1682" s="291"/>
      <c r="D1682" s="291"/>
      <c r="E1682" s="291"/>
      <c r="F1682" s="320"/>
      <c r="G1682" s="291" t="s">
        <v>977</v>
      </c>
      <c r="H1682" s="291">
        <f t="shared" si="183"/>
        <v>620</v>
      </c>
      <c r="I1682" s="328">
        <v>16</v>
      </c>
      <c r="J1682" s="291"/>
      <c r="K1682" s="337"/>
      <c r="L1682" s="324" t="str">
        <f t="shared" si="182"/>
        <v>扩展帧CAN消息</v>
      </c>
      <c r="M1682" s="297"/>
    </row>
    <row r="1683" spans="1:13">
      <c r="A1683" s="291"/>
      <c r="B1683" s="291"/>
      <c r="C1683" s="291"/>
      <c r="D1683" s="291"/>
      <c r="E1683" s="291"/>
      <c r="F1683" s="320"/>
      <c r="G1683" s="291" t="s">
        <v>978</v>
      </c>
      <c r="H1683" s="291">
        <f t="shared" si="183"/>
        <v>636</v>
      </c>
      <c r="I1683" s="328">
        <v>16</v>
      </c>
      <c r="J1683" s="291"/>
      <c r="K1683" s="337"/>
      <c r="L1683" s="324" t="str">
        <f t="shared" si="182"/>
        <v>扩展帧CAN消息</v>
      </c>
      <c r="M1683" s="297"/>
    </row>
    <row r="1684" spans="1:13">
      <c r="A1684" s="291"/>
      <c r="B1684" s="291"/>
      <c r="C1684" s="291"/>
      <c r="D1684" s="291"/>
      <c r="E1684" s="291"/>
      <c r="F1684" s="320"/>
      <c r="G1684" s="291" t="s">
        <v>979</v>
      </c>
      <c r="H1684" s="291">
        <f t="shared" si="183"/>
        <v>652</v>
      </c>
      <c r="I1684" s="328">
        <v>16</v>
      </c>
      <c r="J1684" s="291"/>
      <c r="K1684" s="337"/>
      <c r="L1684" s="324" t="str">
        <f t="shared" si="182"/>
        <v>扩展帧CAN消息</v>
      </c>
      <c r="M1684" s="297"/>
    </row>
    <row r="1685" spans="1:13">
      <c r="A1685" s="291"/>
      <c r="B1685" s="291"/>
      <c r="C1685" s="291"/>
      <c r="D1685" s="291"/>
      <c r="E1685" s="291"/>
      <c r="F1685" s="320"/>
      <c r="G1685" s="291" t="s">
        <v>980</v>
      </c>
      <c r="H1685" s="291">
        <f t="shared" si="183"/>
        <v>668</v>
      </c>
      <c r="I1685" s="328">
        <v>16</v>
      </c>
      <c r="J1685" s="291"/>
      <c r="K1685" s="337"/>
      <c r="L1685" s="324" t="str">
        <f t="shared" si="182"/>
        <v>扩展帧CAN消息</v>
      </c>
      <c r="M1685" s="297"/>
    </row>
    <row r="1686" spans="1:13">
      <c r="A1686" s="291"/>
      <c r="B1686" s="291"/>
      <c r="C1686" s="291"/>
      <c r="D1686" s="291"/>
      <c r="E1686" s="291"/>
      <c r="F1686" s="320"/>
      <c r="G1686" s="329" t="s">
        <v>88</v>
      </c>
      <c r="H1686" s="291">
        <f t="shared" si="183"/>
        <v>684</v>
      </c>
      <c r="I1686" s="328">
        <v>4</v>
      </c>
      <c r="J1686" s="291"/>
      <c r="K1686" s="337"/>
      <c r="L1686" s="324" t="str">
        <f t="shared" si="182"/>
        <v/>
      </c>
      <c r="M1686" s="297"/>
    </row>
    <row r="1687" spans="1:13">
      <c r="A1687" s="291"/>
      <c r="B1687" s="291"/>
      <c r="C1687" s="291"/>
      <c r="D1687" s="291"/>
      <c r="E1687" s="291"/>
      <c r="F1687" s="320"/>
      <c r="G1687" s="291" t="s">
        <v>981</v>
      </c>
      <c r="H1687" s="291">
        <f t="shared" si="183"/>
        <v>688</v>
      </c>
      <c r="I1687" s="328">
        <v>16</v>
      </c>
      <c r="J1687" s="291"/>
      <c r="K1687" s="337"/>
      <c r="L1687" s="324" t="str">
        <f t="shared" si="182"/>
        <v>扩展帧CAN消息</v>
      </c>
      <c r="M1687" s="297"/>
    </row>
    <row r="1688" spans="1:13">
      <c r="A1688" s="291"/>
      <c r="B1688" s="291"/>
      <c r="C1688" s="291"/>
      <c r="D1688" s="291"/>
      <c r="E1688" s="291"/>
      <c r="F1688" s="320"/>
      <c r="G1688" s="291" t="s">
        <v>982</v>
      </c>
      <c r="H1688" s="291">
        <f t="shared" si="183"/>
        <v>704</v>
      </c>
      <c r="I1688" s="328">
        <v>16</v>
      </c>
      <c r="J1688" s="291"/>
      <c r="K1688" s="337"/>
      <c r="L1688" s="324" t="str">
        <f t="shared" si="182"/>
        <v>扩展帧CAN消息</v>
      </c>
      <c r="M1688" s="297"/>
    </row>
    <row r="1689" spans="1:13">
      <c r="A1689" s="291"/>
      <c r="B1689" s="291"/>
      <c r="C1689" s="291"/>
      <c r="D1689" s="291"/>
      <c r="E1689" s="291"/>
      <c r="F1689" s="320"/>
      <c r="G1689" s="291" t="s">
        <v>983</v>
      </c>
      <c r="H1689" s="291">
        <f t="shared" si="183"/>
        <v>720</v>
      </c>
      <c r="I1689" s="328">
        <v>16</v>
      </c>
      <c r="J1689" s="291"/>
      <c r="K1689" s="337"/>
      <c r="L1689" s="324" t="str">
        <f t="shared" ref="L1689:L1705" si="184">IF(RIGHT(G1689,5)="FRAME","扩展帧CAN消息","")</f>
        <v>扩展帧CAN消息</v>
      </c>
      <c r="M1689" s="297"/>
    </row>
    <row r="1690" spans="1:13">
      <c r="A1690" s="291"/>
      <c r="B1690" s="291"/>
      <c r="C1690" s="291"/>
      <c r="D1690" s="291"/>
      <c r="E1690" s="291"/>
      <c r="F1690" s="320"/>
      <c r="G1690" s="291" t="s">
        <v>984</v>
      </c>
      <c r="H1690" s="291">
        <f t="shared" si="183"/>
        <v>736</v>
      </c>
      <c r="I1690" s="328">
        <v>16</v>
      </c>
      <c r="J1690" s="291"/>
      <c r="K1690" s="337"/>
      <c r="L1690" s="324" t="str">
        <f t="shared" si="184"/>
        <v>扩展帧CAN消息</v>
      </c>
      <c r="M1690" s="297"/>
    </row>
    <row r="1691" spans="1:13">
      <c r="A1691" s="291"/>
      <c r="B1691" s="291"/>
      <c r="C1691" s="291"/>
      <c r="D1691" s="291"/>
      <c r="E1691" s="291"/>
      <c r="F1691" s="320"/>
      <c r="G1691" s="329" t="s">
        <v>88</v>
      </c>
      <c r="H1691" s="291">
        <f t="shared" si="183"/>
        <v>752</v>
      </c>
      <c r="I1691" s="328">
        <v>4</v>
      </c>
      <c r="J1691" s="291"/>
      <c r="K1691" s="337"/>
      <c r="L1691" s="324" t="str">
        <f t="shared" si="184"/>
        <v/>
      </c>
      <c r="M1691" s="297"/>
    </row>
    <row r="1692" spans="1:13">
      <c r="A1692" s="291"/>
      <c r="B1692" s="291"/>
      <c r="C1692" s="291"/>
      <c r="D1692" s="291"/>
      <c r="E1692" s="291"/>
      <c r="F1692" s="320"/>
      <c r="G1692" s="291" t="s">
        <v>985</v>
      </c>
      <c r="H1692" s="291">
        <f t="shared" si="183"/>
        <v>756</v>
      </c>
      <c r="I1692" s="328">
        <v>16</v>
      </c>
      <c r="J1692" s="291"/>
      <c r="K1692" s="337"/>
      <c r="L1692" s="324" t="str">
        <f t="shared" si="184"/>
        <v>扩展帧CAN消息</v>
      </c>
      <c r="M1692" s="297"/>
    </row>
    <row r="1693" spans="1:13">
      <c r="A1693" s="291"/>
      <c r="B1693" s="291"/>
      <c r="C1693" s="291"/>
      <c r="D1693" s="291"/>
      <c r="E1693" s="291"/>
      <c r="F1693" s="320"/>
      <c r="G1693" s="291" t="s">
        <v>986</v>
      </c>
      <c r="H1693" s="291">
        <f t="shared" si="183"/>
        <v>772</v>
      </c>
      <c r="I1693" s="328">
        <v>16</v>
      </c>
      <c r="J1693" s="291"/>
      <c r="K1693" s="337"/>
      <c r="L1693" s="324" t="str">
        <f t="shared" si="184"/>
        <v>扩展帧CAN消息</v>
      </c>
      <c r="M1693" s="297"/>
    </row>
    <row r="1694" spans="1:13">
      <c r="A1694" s="291"/>
      <c r="B1694" s="291"/>
      <c r="C1694" s="291"/>
      <c r="D1694" s="291"/>
      <c r="E1694" s="291"/>
      <c r="F1694" s="320"/>
      <c r="G1694" s="291" t="s">
        <v>987</v>
      </c>
      <c r="H1694" s="291">
        <f t="shared" si="183"/>
        <v>788</v>
      </c>
      <c r="I1694" s="328">
        <v>16</v>
      </c>
      <c r="J1694" s="291"/>
      <c r="K1694" s="337"/>
      <c r="L1694" s="324" t="str">
        <f t="shared" si="184"/>
        <v>扩展帧CAN消息</v>
      </c>
      <c r="M1694" s="297"/>
    </row>
    <row r="1695" spans="1:13">
      <c r="A1695" s="291"/>
      <c r="B1695" s="291"/>
      <c r="C1695" s="291"/>
      <c r="D1695" s="291"/>
      <c r="E1695" s="291"/>
      <c r="F1695" s="320"/>
      <c r="G1695" s="291" t="s">
        <v>988</v>
      </c>
      <c r="H1695" s="291">
        <f t="shared" si="183"/>
        <v>804</v>
      </c>
      <c r="I1695" s="328">
        <v>16</v>
      </c>
      <c r="J1695" s="291"/>
      <c r="K1695" s="337"/>
      <c r="L1695" s="324" t="str">
        <f t="shared" si="184"/>
        <v>扩展帧CAN消息</v>
      </c>
      <c r="M1695" s="297"/>
    </row>
    <row r="1696" spans="1:13">
      <c r="A1696" s="291"/>
      <c r="B1696" s="291"/>
      <c r="C1696" s="291"/>
      <c r="D1696" s="291"/>
      <c r="E1696" s="291"/>
      <c r="F1696" s="320"/>
      <c r="G1696" s="329" t="s">
        <v>88</v>
      </c>
      <c r="H1696" s="291">
        <f t="shared" si="183"/>
        <v>820</v>
      </c>
      <c r="I1696" s="328">
        <v>4</v>
      </c>
      <c r="J1696" s="291"/>
      <c r="K1696" s="337"/>
      <c r="L1696" s="324" t="str">
        <f t="shared" si="184"/>
        <v/>
      </c>
      <c r="M1696" s="297"/>
    </row>
    <row r="1697" spans="1:13">
      <c r="A1697" s="291"/>
      <c r="B1697" s="291"/>
      <c r="C1697" s="291"/>
      <c r="D1697" s="291"/>
      <c r="E1697" s="291"/>
      <c r="F1697" s="320"/>
      <c r="G1697" s="291" t="s">
        <v>989</v>
      </c>
      <c r="H1697" s="291">
        <f t="shared" si="183"/>
        <v>824</v>
      </c>
      <c r="I1697" s="328">
        <v>16</v>
      </c>
      <c r="J1697" s="291"/>
      <c r="K1697" s="337"/>
      <c r="L1697" s="324" t="str">
        <f t="shared" si="184"/>
        <v>扩展帧CAN消息</v>
      </c>
      <c r="M1697" s="297"/>
    </row>
    <row r="1698" spans="1:13">
      <c r="A1698" s="291"/>
      <c r="B1698" s="291"/>
      <c r="C1698" s="291"/>
      <c r="D1698" s="291"/>
      <c r="E1698" s="291"/>
      <c r="F1698" s="320"/>
      <c r="G1698" s="291" t="s">
        <v>990</v>
      </c>
      <c r="H1698" s="291">
        <f t="shared" si="183"/>
        <v>840</v>
      </c>
      <c r="I1698" s="328">
        <v>16</v>
      </c>
      <c r="J1698" s="291"/>
      <c r="K1698" s="337"/>
      <c r="L1698" s="324" t="str">
        <f t="shared" si="184"/>
        <v>扩展帧CAN消息</v>
      </c>
      <c r="M1698" s="297"/>
    </row>
    <row r="1699" spans="1:13">
      <c r="A1699" s="291"/>
      <c r="B1699" s="291"/>
      <c r="C1699" s="291"/>
      <c r="D1699" s="291"/>
      <c r="E1699" s="291"/>
      <c r="F1699" s="320"/>
      <c r="G1699" s="291" t="s">
        <v>991</v>
      </c>
      <c r="H1699" s="291">
        <f t="shared" si="183"/>
        <v>856</v>
      </c>
      <c r="I1699" s="328">
        <v>4</v>
      </c>
      <c r="J1699" s="291"/>
      <c r="K1699" s="337"/>
      <c r="L1699" s="324" t="str">
        <f t="shared" si="184"/>
        <v>扩展帧CAN消息</v>
      </c>
      <c r="M1699" s="297"/>
    </row>
    <row r="1700" spans="1:13">
      <c r="A1700" s="291"/>
      <c r="B1700" s="291"/>
      <c r="C1700" s="291"/>
      <c r="D1700" s="291"/>
      <c r="E1700" s="291"/>
      <c r="F1700" s="320"/>
      <c r="G1700" s="291" t="s">
        <v>992</v>
      </c>
      <c r="H1700" s="291">
        <f t="shared" ref="H1700:H1705" si="185">H1699+I1699</f>
        <v>860</v>
      </c>
      <c r="I1700" s="328">
        <v>16</v>
      </c>
      <c r="J1700" s="291"/>
      <c r="K1700" s="337"/>
      <c r="L1700" s="324" t="str">
        <f t="shared" si="184"/>
        <v>扩展帧CAN消息</v>
      </c>
      <c r="M1700" s="297"/>
    </row>
    <row r="1701" spans="1:13">
      <c r="A1701" s="291"/>
      <c r="B1701" s="291"/>
      <c r="C1701" s="291"/>
      <c r="D1701" s="291"/>
      <c r="E1701" s="291"/>
      <c r="F1701" s="320"/>
      <c r="G1701" s="329" t="s">
        <v>88</v>
      </c>
      <c r="H1701" s="291">
        <f t="shared" si="185"/>
        <v>876</v>
      </c>
      <c r="I1701" s="328">
        <v>4</v>
      </c>
      <c r="J1701" s="291"/>
      <c r="K1701" s="337"/>
      <c r="L1701" s="324" t="str">
        <f t="shared" si="184"/>
        <v/>
      </c>
      <c r="M1701" s="297"/>
    </row>
    <row r="1702" spans="1:13">
      <c r="A1702" s="291"/>
      <c r="B1702" s="291"/>
      <c r="C1702" s="291"/>
      <c r="D1702" s="291"/>
      <c r="E1702" s="291"/>
      <c r="F1702" s="320"/>
      <c r="G1702" s="291" t="s">
        <v>993</v>
      </c>
      <c r="H1702" s="291">
        <f t="shared" si="185"/>
        <v>880</v>
      </c>
      <c r="I1702" s="328">
        <v>16</v>
      </c>
      <c r="J1702" s="291"/>
      <c r="K1702" s="337"/>
      <c r="L1702" s="324" t="str">
        <f t="shared" si="184"/>
        <v>扩展帧CAN消息</v>
      </c>
      <c r="M1702" s="297"/>
    </row>
    <row r="1703" spans="1:13">
      <c r="A1703" s="291"/>
      <c r="B1703" s="291"/>
      <c r="C1703" s="291"/>
      <c r="D1703" s="291"/>
      <c r="E1703" s="291"/>
      <c r="F1703" s="320"/>
      <c r="G1703" s="291" t="s">
        <v>994</v>
      </c>
      <c r="H1703" s="291">
        <f t="shared" si="185"/>
        <v>896</v>
      </c>
      <c r="I1703" s="328">
        <v>16</v>
      </c>
      <c r="J1703" s="291"/>
      <c r="K1703" s="337"/>
      <c r="L1703" s="324" t="str">
        <f t="shared" si="184"/>
        <v>扩展帧CAN消息</v>
      </c>
      <c r="M1703" s="297"/>
    </row>
    <row r="1704" spans="1:13">
      <c r="A1704" s="291"/>
      <c r="B1704" s="291"/>
      <c r="C1704" s="291"/>
      <c r="D1704" s="291"/>
      <c r="E1704" s="291"/>
      <c r="F1704" s="320"/>
      <c r="G1704" s="291" t="s">
        <v>995</v>
      </c>
      <c r="H1704" s="291">
        <f t="shared" si="185"/>
        <v>912</v>
      </c>
      <c r="I1704" s="328">
        <v>16</v>
      </c>
      <c r="J1704" s="291"/>
      <c r="K1704" s="337"/>
      <c r="L1704" s="324" t="str">
        <f t="shared" si="184"/>
        <v>扩展帧CAN消息</v>
      </c>
      <c r="M1704" s="297"/>
    </row>
    <row r="1705" spans="1:13">
      <c r="A1705" s="291"/>
      <c r="B1705" s="291"/>
      <c r="C1705" s="291"/>
      <c r="D1705" s="291"/>
      <c r="E1705" s="291"/>
      <c r="F1705" s="320"/>
      <c r="G1705" s="291" t="s">
        <v>996</v>
      </c>
      <c r="H1705" s="291">
        <f t="shared" si="185"/>
        <v>928</v>
      </c>
      <c r="I1705" s="328">
        <v>16</v>
      </c>
      <c r="J1705" s="291"/>
      <c r="K1705" s="337"/>
      <c r="L1705" s="324" t="str">
        <f t="shared" si="184"/>
        <v>扩展帧CAN消息</v>
      </c>
      <c r="M1705" s="297"/>
    </row>
    <row r="1706" spans="1:13">
      <c r="A1706" s="331" t="s">
        <v>1064</v>
      </c>
      <c r="B1706" s="331" t="s">
        <v>1065</v>
      </c>
      <c r="C1706" s="331" t="s">
        <v>877</v>
      </c>
      <c r="D1706" s="331" t="s">
        <v>133</v>
      </c>
      <c r="E1706" s="331">
        <v>7040</v>
      </c>
      <c r="F1706" s="331" t="s">
        <v>86</v>
      </c>
      <c r="G1706" s="291" t="s">
        <v>134</v>
      </c>
      <c r="H1706" s="291">
        <v>0</v>
      </c>
      <c r="I1706" s="291">
        <v>4</v>
      </c>
      <c r="J1706" s="331" t="s">
        <v>119</v>
      </c>
      <c r="K1706" s="331">
        <v>1000</v>
      </c>
      <c r="L1706" s="324" t="str">
        <f t="shared" ref="L1706:L1744" si="186">IF(RIGHT(G1706,5)="FRAME","扩展帧CAN消息","")</f>
        <v/>
      </c>
      <c r="M1706" s="332">
        <v>1602202</v>
      </c>
    </row>
    <row r="1707" spans="1:13">
      <c r="A1707" s="331"/>
      <c r="B1707" s="331"/>
      <c r="C1707" s="331"/>
      <c r="D1707" s="331"/>
      <c r="E1707" s="331"/>
      <c r="F1707" s="331"/>
      <c r="G1707" s="320" t="s">
        <v>120</v>
      </c>
      <c r="H1707" s="291">
        <f t="shared" ref="H1707:H1770" si="187">H1706+I1706</f>
        <v>4</v>
      </c>
      <c r="I1707" s="291">
        <v>4</v>
      </c>
      <c r="J1707" s="331"/>
      <c r="K1707" s="331"/>
      <c r="L1707" s="324" t="str">
        <f t="shared" si="186"/>
        <v/>
      </c>
      <c r="M1707" s="333"/>
    </row>
    <row r="1708" spans="1:13">
      <c r="A1708" s="331"/>
      <c r="B1708" s="331"/>
      <c r="C1708" s="331"/>
      <c r="D1708" s="331"/>
      <c r="E1708" s="331"/>
      <c r="F1708" s="331"/>
      <c r="G1708" s="291" t="s">
        <v>999</v>
      </c>
      <c r="H1708" s="291">
        <f t="shared" si="187"/>
        <v>8</v>
      </c>
      <c r="I1708" s="291">
        <v>16</v>
      </c>
      <c r="J1708" s="331"/>
      <c r="K1708" s="331"/>
      <c r="L1708" s="324" t="str">
        <f t="shared" si="186"/>
        <v>扩展帧CAN消息</v>
      </c>
      <c r="M1708" s="333"/>
    </row>
    <row r="1709" spans="1:13">
      <c r="A1709" s="331"/>
      <c r="B1709" s="331"/>
      <c r="C1709" s="331"/>
      <c r="D1709" s="331"/>
      <c r="E1709" s="331"/>
      <c r="F1709" s="331"/>
      <c r="G1709" s="291" t="s">
        <v>1000</v>
      </c>
      <c r="H1709" s="291">
        <f t="shared" si="187"/>
        <v>24</v>
      </c>
      <c r="I1709" s="291">
        <v>16</v>
      </c>
      <c r="J1709" s="331"/>
      <c r="K1709" s="331"/>
      <c r="L1709" s="324" t="str">
        <f t="shared" si="186"/>
        <v>扩展帧CAN消息</v>
      </c>
      <c r="M1709" s="333"/>
    </row>
    <row r="1710" spans="1:13">
      <c r="A1710" s="331"/>
      <c r="B1710" s="331"/>
      <c r="C1710" s="331"/>
      <c r="D1710" s="331"/>
      <c r="E1710" s="331"/>
      <c r="F1710" s="331"/>
      <c r="G1710" s="320" t="s">
        <v>1001</v>
      </c>
      <c r="H1710" s="291">
        <f t="shared" si="187"/>
        <v>40</v>
      </c>
      <c r="I1710" s="291">
        <v>16</v>
      </c>
      <c r="J1710" s="331"/>
      <c r="K1710" s="331"/>
      <c r="L1710" s="324" t="str">
        <f t="shared" si="186"/>
        <v>扩展帧CAN消息</v>
      </c>
      <c r="M1710" s="333"/>
    </row>
    <row r="1711" spans="1:13">
      <c r="A1711" s="331"/>
      <c r="B1711" s="331"/>
      <c r="C1711" s="331"/>
      <c r="D1711" s="331"/>
      <c r="E1711" s="331"/>
      <c r="F1711" s="331"/>
      <c r="G1711" s="291" t="s">
        <v>1002</v>
      </c>
      <c r="H1711" s="291">
        <f t="shared" si="187"/>
        <v>56</v>
      </c>
      <c r="I1711" s="291">
        <v>16</v>
      </c>
      <c r="J1711" s="331"/>
      <c r="K1711" s="331"/>
      <c r="L1711" s="324" t="str">
        <f t="shared" si="186"/>
        <v>扩展帧CAN消息</v>
      </c>
      <c r="M1711" s="333"/>
    </row>
    <row r="1712" spans="1:13">
      <c r="A1712" s="331"/>
      <c r="B1712" s="331"/>
      <c r="C1712" s="331"/>
      <c r="D1712" s="331"/>
      <c r="E1712" s="331"/>
      <c r="F1712" s="331"/>
      <c r="G1712" s="291" t="s">
        <v>88</v>
      </c>
      <c r="H1712" s="291">
        <f t="shared" si="187"/>
        <v>72</v>
      </c>
      <c r="I1712" s="291">
        <v>4</v>
      </c>
      <c r="J1712" s="331"/>
      <c r="K1712" s="331"/>
      <c r="L1712" s="324" t="str">
        <f t="shared" si="186"/>
        <v/>
      </c>
      <c r="M1712" s="333"/>
    </row>
    <row r="1713" spans="1:13">
      <c r="A1713" s="331"/>
      <c r="B1713" s="331"/>
      <c r="C1713" s="331"/>
      <c r="D1713" s="331"/>
      <c r="E1713" s="331"/>
      <c r="F1713" s="331"/>
      <c r="G1713" s="320" t="s">
        <v>1003</v>
      </c>
      <c r="H1713" s="291">
        <f t="shared" si="187"/>
        <v>76</v>
      </c>
      <c r="I1713" s="291">
        <v>16</v>
      </c>
      <c r="J1713" s="331"/>
      <c r="K1713" s="331"/>
      <c r="L1713" s="324" t="str">
        <f t="shared" si="186"/>
        <v>扩展帧CAN消息</v>
      </c>
      <c r="M1713" s="333"/>
    </row>
    <row r="1714" spans="1:13">
      <c r="A1714" s="331"/>
      <c r="B1714" s="331"/>
      <c r="C1714" s="331"/>
      <c r="D1714" s="331"/>
      <c r="E1714" s="331"/>
      <c r="F1714" s="331"/>
      <c r="G1714" s="291" t="s">
        <v>1004</v>
      </c>
      <c r="H1714" s="291">
        <f t="shared" si="187"/>
        <v>92</v>
      </c>
      <c r="I1714" s="291">
        <v>16</v>
      </c>
      <c r="J1714" s="331"/>
      <c r="K1714" s="331"/>
      <c r="L1714" s="324" t="str">
        <f t="shared" si="186"/>
        <v>扩展帧CAN消息</v>
      </c>
      <c r="M1714" s="333"/>
    </row>
    <row r="1715" spans="1:13">
      <c r="A1715" s="331"/>
      <c r="B1715" s="331"/>
      <c r="C1715" s="331"/>
      <c r="D1715" s="331"/>
      <c r="E1715" s="331"/>
      <c r="F1715" s="331"/>
      <c r="G1715" s="291" t="s">
        <v>1005</v>
      </c>
      <c r="H1715" s="291">
        <f t="shared" si="187"/>
        <v>108</v>
      </c>
      <c r="I1715" s="291">
        <v>16</v>
      </c>
      <c r="J1715" s="331"/>
      <c r="K1715" s="331"/>
      <c r="L1715" s="324" t="str">
        <f t="shared" si="186"/>
        <v>扩展帧CAN消息</v>
      </c>
      <c r="M1715" s="333"/>
    </row>
    <row r="1716" spans="1:13">
      <c r="A1716" s="331"/>
      <c r="B1716" s="331"/>
      <c r="C1716" s="331"/>
      <c r="D1716" s="331"/>
      <c r="E1716" s="331"/>
      <c r="F1716" s="331"/>
      <c r="G1716" s="291" t="s">
        <v>1006</v>
      </c>
      <c r="H1716" s="291">
        <f t="shared" si="187"/>
        <v>124</v>
      </c>
      <c r="I1716" s="291">
        <v>16</v>
      </c>
      <c r="J1716" s="331"/>
      <c r="K1716" s="331"/>
      <c r="L1716" s="324" t="str">
        <f t="shared" si="186"/>
        <v>扩展帧CAN消息</v>
      </c>
      <c r="M1716" s="333"/>
    </row>
    <row r="1717" spans="1:13">
      <c r="A1717" s="331"/>
      <c r="B1717" s="331"/>
      <c r="C1717" s="331"/>
      <c r="D1717" s="331"/>
      <c r="E1717" s="331"/>
      <c r="F1717" s="331"/>
      <c r="G1717" s="291" t="s">
        <v>88</v>
      </c>
      <c r="H1717" s="291">
        <f t="shared" si="187"/>
        <v>140</v>
      </c>
      <c r="I1717" s="291">
        <v>4</v>
      </c>
      <c r="J1717" s="331"/>
      <c r="K1717" s="331"/>
      <c r="L1717" s="324" t="str">
        <f t="shared" si="186"/>
        <v/>
      </c>
      <c r="M1717" s="333"/>
    </row>
    <row r="1718" spans="1:13">
      <c r="A1718" s="331"/>
      <c r="B1718" s="331"/>
      <c r="C1718" s="331"/>
      <c r="D1718" s="331"/>
      <c r="E1718" s="331"/>
      <c r="F1718" s="331"/>
      <c r="G1718" s="291" t="s">
        <v>1007</v>
      </c>
      <c r="H1718" s="291">
        <f t="shared" si="187"/>
        <v>144</v>
      </c>
      <c r="I1718" s="291">
        <v>16</v>
      </c>
      <c r="J1718" s="331"/>
      <c r="K1718" s="331"/>
      <c r="L1718" s="324" t="str">
        <f t="shared" si="186"/>
        <v>扩展帧CAN消息</v>
      </c>
      <c r="M1718" s="333"/>
    </row>
    <row r="1719" spans="1:13">
      <c r="A1719" s="331"/>
      <c r="B1719" s="331"/>
      <c r="C1719" s="331"/>
      <c r="D1719" s="331"/>
      <c r="E1719" s="331"/>
      <c r="F1719" s="331"/>
      <c r="G1719" s="291" t="s">
        <v>1008</v>
      </c>
      <c r="H1719" s="291">
        <f t="shared" si="187"/>
        <v>160</v>
      </c>
      <c r="I1719" s="291">
        <v>16</v>
      </c>
      <c r="J1719" s="331"/>
      <c r="K1719" s="331"/>
      <c r="L1719" s="324" t="str">
        <f t="shared" si="186"/>
        <v>扩展帧CAN消息</v>
      </c>
      <c r="M1719" s="333"/>
    </row>
    <row r="1720" spans="1:13">
      <c r="A1720" s="331"/>
      <c r="B1720" s="331"/>
      <c r="C1720" s="331"/>
      <c r="D1720" s="331"/>
      <c r="E1720" s="331"/>
      <c r="F1720" s="331"/>
      <c r="G1720" s="291" t="s">
        <v>1009</v>
      </c>
      <c r="H1720" s="291">
        <f t="shared" si="187"/>
        <v>176</v>
      </c>
      <c r="I1720" s="291">
        <v>16</v>
      </c>
      <c r="J1720" s="331"/>
      <c r="K1720" s="331"/>
      <c r="L1720" s="324" t="str">
        <f t="shared" si="186"/>
        <v>扩展帧CAN消息</v>
      </c>
      <c r="M1720" s="333"/>
    </row>
    <row r="1721" spans="1:13">
      <c r="A1721" s="331"/>
      <c r="B1721" s="331"/>
      <c r="C1721" s="331"/>
      <c r="D1721" s="331"/>
      <c r="E1721" s="331"/>
      <c r="F1721" s="331"/>
      <c r="G1721" s="291" t="s">
        <v>1010</v>
      </c>
      <c r="H1721" s="291">
        <f t="shared" si="187"/>
        <v>192</v>
      </c>
      <c r="I1721" s="291">
        <v>16</v>
      </c>
      <c r="J1721" s="331"/>
      <c r="K1721" s="331"/>
      <c r="L1721" s="324" t="str">
        <f t="shared" si="186"/>
        <v>扩展帧CAN消息</v>
      </c>
      <c r="M1721" s="333"/>
    </row>
    <row r="1722" spans="1:13">
      <c r="A1722" s="331"/>
      <c r="B1722" s="331"/>
      <c r="C1722" s="331"/>
      <c r="D1722" s="331"/>
      <c r="E1722" s="331"/>
      <c r="F1722" s="331"/>
      <c r="G1722" s="291" t="s">
        <v>120</v>
      </c>
      <c r="H1722" s="291">
        <f t="shared" si="187"/>
        <v>208</v>
      </c>
      <c r="I1722" s="291">
        <v>4</v>
      </c>
      <c r="J1722" s="331"/>
      <c r="K1722" s="331"/>
      <c r="L1722" s="324" t="str">
        <f t="shared" si="186"/>
        <v/>
      </c>
      <c r="M1722" s="333"/>
    </row>
    <row r="1723" spans="1:13">
      <c r="A1723" s="331"/>
      <c r="B1723" s="331"/>
      <c r="C1723" s="331"/>
      <c r="D1723" s="331"/>
      <c r="E1723" s="331"/>
      <c r="F1723" s="331"/>
      <c r="G1723" s="291" t="s">
        <v>1011</v>
      </c>
      <c r="H1723" s="291">
        <f t="shared" si="187"/>
        <v>212</v>
      </c>
      <c r="I1723" s="291">
        <v>16</v>
      </c>
      <c r="J1723" s="331"/>
      <c r="K1723" s="331"/>
      <c r="L1723" s="324" t="str">
        <f t="shared" si="186"/>
        <v>扩展帧CAN消息</v>
      </c>
      <c r="M1723" s="333"/>
    </row>
    <row r="1724" spans="1:13">
      <c r="A1724" s="331"/>
      <c r="B1724" s="331"/>
      <c r="C1724" s="331"/>
      <c r="D1724" s="331"/>
      <c r="E1724" s="331"/>
      <c r="F1724" s="331"/>
      <c r="G1724" s="291" t="s">
        <v>1012</v>
      </c>
      <c r="H1724" s="291">
        <f t="shared" si="187"/>
        <v>228</v>
      </c>
      <c r="I1724" s="291">
        <v>16</v>
      </c>
      <c r="J1724" s="331"/>
      <c r="K1724" s="331"/>
      <c r="L1724" s="324" t="str">
        <f t="shared" si="186"/>
        <v>扩展帧CAN消息</v>
      </c>
      <c r="M1724" s="333"/>
    </row>
    <row r="1725" spans="1:13">
      <c r="A1725" s="331"/>
      <c r="B1725" s="331"/>
      <c r="C1725" s="331"/>
      <c r="D1725" s="331"/>
      <c r="E1725" s="331"/>
      <c r="F1725" s="331"/>
      <c r="G1725" s="291" t="s">
        <v>1013</v>
      </c>
      <c r="H1725" s="291">
        <f t="shared" si="187"/>
        <v>244</v>
      </c>
      <c r="I1725" s="291">
        <v>16</v>
      </c>
      <c r="J1725" s="331"/>
      <c r="K1725" s="331"/>
      <c r="L1725" s="324" t="str">
        <f t="shared" si="186"/>
        <v>扩展帧CAN消息</v>
      </c>
      <c r="M1725" s="333"/>
    </row>
    <row r="1726" spans="1:13">
      <c r="A1726" s="331"/>
      <c r="B1726" s="331"/>
      <c r="C1726" s="331"/>
      <c r="D1726" s="331"/>
      <c r="E1726" s="331"/>
      <c r="F1726" s="331"/>
      <c r="G1726" s="291" t="s">
        <v>1014</v>
      </c>
      <c r="H1726" s="291">
        <f t="shared" si="187"/>
        <v>260</v>
      </c>
      <c r="I1726" s="291">
        <v>16</v>
      </c>
      <c r="J1726" s="331"/>
      <c r="K1726" s="331"/>
      <c r="L1726" s="324" t="str">
        <f t="shared" si="186"/>
        <v>扩展帧CAN消息</v>
      </c>
      <c r="M1726" s="333"/>
    </row>
    <row r="1727" spans="1:13">
      <c r="A1727" s="331"/>
      <c r="B1727" s="331"/>
      <c r="C1727" s="331"/>
      <c r="D1727" s="331"/>
      <c r="E1727" s="331"/>
      <c r="F1727" s="331"/>
      <c r="G1727" s="291" t="s">
        <v>120</v>
      </c>
      <c r="H1727" s="291">
        <f t="shared" si="187"/>
        <v>276</v>
      </c>
      <c r="I1727" s="291">
        <v>4</v>
      </c>
      <c r="J1727" s="331"/>
      <c r="K1727" s="331"/>
      <c r="L1727" s="324" t="str">
        <f t="shared" si="186"/>
        <v/>
      </c>
      <c r="M1727" s="333"/>
    </row>
    <row r="1728" spans="1:13">
      <c r="A1728" s="331"/>
      <c r="B1728" s="331"/>
      <c r="C1728" s="331"/>
      <c r="D1728" s="331"/>
      <c r="E1728" s="331"/>
      <c r="F1728" s="331"/>
      <c r="G1728" s="291" t="s">
        <v>1015</v>
      </c>
      <c r="H1728" s="291">
        <f t="shared" si="187"/>
        <v>280</v>
      </c>
      <c r="I1728" s="291">
        <v>16</v>
      </c>
      <c r="J1728" s="331"/>
      <c r="K1728" s="331"/>
      <c r="L1728" s="324" t="str">
        <f t="shared" si="186"/>
        <v>扩展帧CAN消息</v>
      </c>
      <c r="M1728" s="333"/>
    </row>
    <row r="1729" spans="1:13">
      <c r="A1729" s="331"/>
      <c r="B1729" s="331"/>
      <c r="C1729" s="331"/>
      <c r="D1729" s="331"/>
      <c r="E1729" s="331"/>
      <c r="F1729" s="331"/>
      <c r="G1729" s="291" t="s">
        <v>1016</v>
      </c>
      <c r="H1729" s="291">
        <f t="shared" si="187"/>
        <v>296</v>
      </c>
      <c r="I1729" s="291">
        <v>16</v>
      </c>
      <c r="J1729" s="331"/>
      <c r="K1729" s="331"/>
      <c r="L1729" s="324" t="str">
        <f t="shared" si="186"/>
        <v>扩展帧CAN消息</v>
      </c>
      <c r="M1729" s="333"/>
    </row>
    <row r="1730" spans="1:13">
      <c r="A1730" s="331"/>
      <c r="B1730" s="331"/>
      <c r="C1730" s="331"/>
      <c r="D1730" s="331"/>
      <c r="E1730" s="331"/>
      <c r="F1730" s="331"/>
      <c r="G1730" s="291" t="s">
        <v>1017</v>
      </c>
      <c r="H1730" s="291">
        <f t="shared" si="187"/>
        <v>312</v>
      </c>
      <c r="I1730" s="291">
        <v>16</v>
      </c>
      <c r="J1730" s="331"/>
      <c r="K1730" s="331"/>
      <c r="L1730" s="324" t="str">
        <f t="shared" si="186"/>
        <v>扩展帧CAN消息</v>
      </c>
      <c r="M1730" s="333"/>
    </row>
    <row r="1731" spans="1:13">
      <c r="A1731" s="331"/>
      <c r="B1731" s="331"/>
      <c r="C1731" s="331"/>
      <c r="D1731" s="331"/>
      <c r="E1731" s="331"/>
      <c r="F1731" s="331"/>
      <c r="G1731" s="334" t="s">
        <v>1018</v>
      </c>
      <c r="H1731" s="291">
        <f t="shared" si="187"/>
        <v>328</v>
      </c>
      <c r="I1731" s="291">
        <v>16</v>
      </c>
      <c r="J1731" s="331"/>
      <c r="K1731" s="331"/>
      <c r="L1731" s="324" t="str">
        <f t="shared" si="186"/>
        <v>扩展帧CAN消息</v>
      </c>
      <c r="M1731" s="333"/>
    </row>
    <row r="1732" spans="1:13">
      <c r="A1732" s="331"/>
      <c r="B1732" s="331"/>
      <c r="C1732" s="331"/>
      <c r="D1732" s="331"/>
      <c r="E1732" s="331"/>
      <c r="F1732" s="331"/>
      <c r="G1732" s="291" t="s">
        <v>120</v>
      </c>
      <c r="H1732" s="291">
        <f t="shared" si="187"/>
        <v>344</v>
      </c>
      <c r="I1732" s="291">
        <v>4</v>
      </c>
      <c r="J1732" s="331"/>
      <c r="K1732" s="331"/>
      <c r="L1732" s="324" t="str">
        <f t="shared" si="186"/>
        <v/>
      </c>
      <c r="M1732" s="333"/>
    </row>
    <row r="1733" spans="1:13">
      <c r="A1733" s="331"/>
      <c r="B1733" s="331"/>
      <c r="C1733" s="331"/>
      <c r="D1733" s="331"/>
      <c r="E1733" s="331"/>
      <c r="F1733" s="331"/>
      <c r="G1733" s="320" t="s">
        <v>1019</v>
      </c>
      <c r="H1733" s="291">
        <f t="shared" si="187"/>
        <v>348</v>
      </c>
      <c r="I1733" s="291">
        <v>16</v>
      </c>
      <c r="J1733" s="331"/>
      <c r="K1733" s="331"/>
      <c r="L1733" s="324" t="str">
        <f t="shared" si="186"/>
        <v>扩展帧CAN消息</v>
      </c>
      <c r="M1733" s="333"/>
    </row>
    <row r="1734" spans="1:13">
      <c r="A1734" s="331"/>
      <c r="B1734" s="331"/>
      <c r="C1734" s="331"/>
      <c r="D1734" s="331"/>
      <c r="E1734" s="331"/>
      <c r="F1734" s="331"/>
      <c r="G1734" s="291" t="s">
        <v>1020</v>
      </c>
      <c r="H1734" s="291">
        <f t="shared" si="187"/>
        <v>364</v>
      </c>
      <c r="I1734" s="291">
        <v>16</v>
      </c>
      <c r="J1734" s="331"/>
      <c r="K1734" s="331"/>
      <c r="L1734" s="324" t="str">
        <f t="shared" si="186"/>
        <v>扩展帧CAN消息</v>
      </c>
      <c r="M1734" s="333"/>
    </row>
    <row r="1735" spans="1:13">
      <c r="A1735" s="331"/>
      <c r="B1735" s="331"/>
      <c r="C1735" s="331"/>
      <c r="D1735" s="331"/>
      <c r="E1735" s="331"/>
      <c r="F1735" s="331"/>
      <c r="G1735" s="291" t="s">
        <v>1021</v>
      </c>
      <c r="H1735" s="291">
        <f t="shared" si="187"/>
        <v>380</v>
      </c>
      <c r="I1735" s="291">
        <v>16</v>
      </c>
      <c r="J1735" s="331"/>
      <c r="K1735" s="331"/>
      <c r="L1735" s="324" t="str">
        <f t="shared" si="186"/>
        <v>扩展帧CAN消息</v>
      </c>
      <c r="M1735" s="333"/>
    </row>
    <row r="1736" spans="1:13">
      <c r="A1736" s="331"/>
      <c r="B1736" s="331"/>
      <c r="C1736" s="331"/>
      <c r="D1736" s="331"/>
      <c r="E1736" s="331"/>
      <c r="F1736" s="331"/>
      <c r="G1736" s="320" t="s">
        <v>1022</v>
      </c>
      <c r="H1736" s="291">
        <f t="shared" si="187"/>
        <v>396</v>
      </c>
      <c r="I1736" s="291">
        <v>16</v>
      </c>
      <c r="J1736" s="331"/>
      <c r="K1736" s="331"/>
      <c r="L1736" s="324" t="str">
        <f t="shared" si="186"/>
        <v>扩展帧CAN消息</v>
      </c>
      <c r="M1736" s="333"/>
    </row>
    <row r="1737" spans="1:13">
      <c r="A1737" s="331"/>
      <c r="B1737" s="331"/>
      <c r="C1737" s="331"/>
      <c r="D1737" s="331"/>
      <c r="E1737" s="331"/>
      <c r="F1737" s="331"/>
      <c r="G1737" s="291" t="s">
        <v>120</v>
      </c>
      <c r="H1737" s="291">
        <f t="shared" si="187"/>
        <v>412</v>
      </c>
      <c r="I1737" s="291">
        <v>4</v>
      </c>
      <c r="J1737" s="331"/>
      <c r="K1737" s="331"/>
      <c r="L1737" s="324" t="str">
        <f t="shared" si="186"/>
        <v/>
      </c>
      <c r="M1737" s="333"/>
    </row>
    <row r="1738" spans="1:13">
      <c r="A1738" s="331"/>
      <c r="B1738" s="331"/>
      <c r="C1738" s="331"/>
      <c r="D1738" s="331"/>
      <c r="E1738" s="331"/>
      <c r="F1738" s="331"/>
      <c r="G1738" s="291" t="s">
        <v>1023</v>
      </c>
      <c r="H1738" s="291">
        <f t="shared" si="187"/>
        <v>416</v>
      </c>
      <c r="I1738" s="291">
        <v>16</v>
      </c>
      <c r="J1738" s="331"/>
      <c r="K1738" s="331"/>
      <c r="L1738" s="324" t="str">
        <f t="shared" si="186"/>
        <v>扩展帧CAN消息</v>
      </c>
      <c r="M1738" s="333"/>
    </row>
    <row r="1739" spans="1:13">
      <c r="A1739" s="331"/>
      <c r="B1739" s="331"/>
      <c r="C1739" s="331"/>
      <c r="D1739" s="331"/>
      <c r="E1739" s="331"/>
      <c r="F1739" s="331"/>
      <c r="G1739" s="320" t="s">
        <v>1024</v>
      </c>
      <c r="H1739" s="291">
        <f t="shared" si="187"/>
        <v>432</v>
      </c>
      <c r="I1739" s="291">
        <v>16</v>
      </c>
      <c r="J1739" s="331"/>
      <c r="K1739" s="331"/>
      <c r="L1739" s="324" t="str">
        <f t="shared" si="186"/>
        <v>扩展帧CAN消息</v>
      </c>
      <c r="M1739" s="333"/>
    </row>
    <row r="1740" spans="1:13">
      <c r="A1740" s="331"/>
      <c r="B1740" s="331"/>
      <c r="C1740" s="331"/>
      <c r="D1740" s="331"/>
      <c r="E1740" s="331"/>
      <c r="F1740" s="331"/>
      <c r="G1740" s="291" t="s">
        <v>1025</v>
      </c>
      <c r="H1740" s="291">
        <f t="shared" si="187"/>
        <v>448</v>
      </c>
      <c r="I1740" s="291">
        <v>16</v>
      </c>
      <c r="J1740" s="331"/>
      <c r="K1740" s="331"/>
      <c r="L1740" s="324" t="str">
        <f t="shared" si="186"/>
        <v>扩展帧CAN消息</v>
      </c>
      <c r="M1740" s="333"/>
    </row>
    <row r="1741" spans="1:13">
      <c r="A1741" s="331"/>
      <c r="B1741" s="331"/>
      <c r="C1741" s="331"/>
      <c r="D1741" s="331"/>
      <c r="E1741" s="331"/>
      <c r="F1741" s="331"/>
      <c r="G1741" s="291" t="s">
        <v>1026</v>
      </c>
      <c r="H1741" s="291">
        <f t="shared" si="187"/>
        <v>464</v>
      </c>
      <c r="I1741" s="291">
        <v>16</v>
      </c>
      <c r="J1741" s="331"/>
      <c r="K1741" s="331"/>
      <c r="L1741" s="324" t="str">
        <f t="shared" si="186"/>
        <v>扩展帧CAN消息</v>
      </c>
      <c r="M1741" s="333"/>
    </row>
    <row r="1742" spans="1:13">
      <c r="A1742" s="331"/>
      <c r="B1742" s="331"/>
      <c r="C1742" s="331"/>
      <c r="D1742" s="331"/>
      <c r="E1742" s="331"/>
      <c r="F1742" s="331"/>
      <c r="G1742" s="320" t="s">
        <v>120</v>
      </c>
      <c r="H1742" s="291">
        <f t="shared" si="187"/>
        <v>480</v>
      </c>
      <c r="I1742" s="291">
        <v>4</v>
      </c>
      <c r="J1742" s="331"/>
      <c r="K1742" s="331"/>
      <c r="L1742" s="324" t="str">
        <f t="shared" si="186"/>
        <v/>
      </c>
      <c r="M1742" s="333"/>
    </row>
    <row r="1743" spans="1:13">
      <c r="A1743" s="331"/>
      <c r="B1743" s="331"/>
      <c r="C1743" s="331"/>
      <c r="D1743" s="331"/>
      <c r="E1743" s="331"/>
      <c r="F1743" s="331"/>
      <c r="G1743" s="291" t="s">
        <v>1027</v>
      </c>
      <c r="H1743" s="291">
        <f t="shared" si="187"/>
        <v>484</v>
      </c>
      <c r="I1743" s="291">
        <v>16</v>
      </c>
      <c r="J1743" s="331"/>
      <c r="K1743" s="331"/>
      <c r="L1743" s="324" t="str">
        <f t="shared" si="186"/>
        <v>扩展帧CAN消息</v>
      </c>
      <c r="M1743" s="333"/>
    </row>
    <row r="1744" spans="1:13">
      <c r="A1744" s="331"/>
      <c r="B1744" s="331"/>
      <c r="C1744" s="331"/>
      <c r="D1744" s="331"/>
      <c r="E1744" s="331"/>
      <c r="F1744" s="331"/>
      <c r="G1744" s="291" t="s">
        <v>1028</v>
      </c>
      <c r="H1744" s="291">
        <f t="shared" si="187"/>
        <v>500</v>
      </c>
      <c r="I1744" s="291">
        <v>16</v>
      </c>
      <c r="J1744" s="331"/>
      <c r="K1744" s="331"/>
      <c r="L1744" s="324" t="str">
        <f t="shared" si="186"/>
        <v>扩展帧CAN消息</v>
      </c>
      <c r="M1744" s="333"/>
    </row>
    <row r="1745" spans="1:13">
      <c r="A1745" s="331"/>
      <c r="B1745" s="331"/>
      <c r="C1745" s="331"/>
      <c r="D1745" s="331"/>
      <c r="E1745" s="331"/>
      <c r="F1745" s="331"/>
      <c r="G1745" s="320" t="s">
        <v>1029</v>
      </c>
      <c r="H1745" s="291">
        <f t="shared" si="187"/>
        <v>516</v>
      </c>
      <c r="I1745" s="291">
        <v>16</v>
      </c>
      <c r="J1745" s="331"/>
      <c r="K1745" s="331"/>
      <c r="L1745" s="324" t="str">
        <f t="shared" ref="L1745:L1786" si="188">IF(RIGHT(G1745,5)="FRAME","扩展帧CAN消息","")</f>
        <v>扩展帧CAN消息</v>
      </c>
      <c r="M1745" s="333"/>
    </row>
    <row r="1746" spans="1:13">
      <c r="A1746" s="331"/>
      <c r="B1746" s="331"/>
      <c r="C1746" s="331"/>
      <c r="D1746" s="331"/>
      <c r="E1746" s="331"/>
      <c r="F1746" s="331"/>
      <c r="G1746" s="334" t="s">
        <v>1030</v>
      </c>
      <c r="H1746" s="291">
        <f t="shared" si="187"/>
        <v>532</v>
      </c>
      <c r="I1746" s="291">
        <v>16</v>
      </c>
      <c r="J1746" s="331"/>
      <c r="K1746" s="331"/>
      <c r="L1746" s="324" t="str">
        <f t="shared" si="188"/>
        <v>扩展帧CAN消息</v>
      </c>
      <c r="M1746" s="333"/>
    </row>
    <row r="1747" spans="1:13">
      <c r="A1747" s="331"/>
      <c r="B1747" s="331"/>
      <c r="C1747" s="331"/>
      <c r="D1747" s="331"/>
      <c r="E1747" s="331"/>
      <c r="F1747" s="331"/>
      <c r="G1747" s="291" t="s">
        <v>120</v>
      </c>
      <c r="H1747" s="291">
        <f t="shared" si="187"/>
        <v>548</v>
      </c>
      <c r="I1747" s="291">
        <v>4</v>
      </c>
      <c r="J1747" s="331"/>
      <c r="K1747" s="331"/>
      <c r="L1747" s="324" t="str">
        <f t="shared" si="188"/>
        <v/>
      </c>
      <c r="M1747" s="333"/>
    </row>
    <row r="1748" spans="1:13">
      <c r="A1748" s="331"/>
      <c r="B1748" s="331"/>
      <c r="C1748" s="331"/>
      <c r="D1748" s="331"/>
      <c r="E1748" s="331"/>
      <c r="F1748" s="331"/>
      <c r="G1748" s="334" t="s">
        <v>1031</v>
      </c>
      <c r="H1748" s="291">
        <f t="shared" si="187"/>
        <v>552</v>
      </c>
      <c r="I1748" s="291">
        <v>16</v>
      </c>
      <c r="J1748" s="331"/>
      <c r="K1748" s="331"/>
      <c r="L1748" s="324" t="str">
        <f t="shared" si="188"/>
        <v>扩展帧CAN消息</v>
      </c>
      <c r="M1748" s="333"/>
    </row>
    <row r="1749" spans="1:13">
      <c r="A1749" s="331"/>
      <c r="B1749" s="331"/>
      <c r="C1749" s="331"/>
      <c r="D1749" s="331"/>
      <c r="E1749" s="331"/>
      <c r="F1749" s="331"/>
      <c r="G1749" s="334" t="s">
        <v>1032</v>
      </c>
      <c r="H1749" s="291">
        <f t="shared" si="187"/>
        <v>568</v>
      </c>
      <c r="I1749" s="291">
        <v>16</v>
      </c>
      <c r="J1749" s="331"/>
      <c r="K1749" s="331"/>
      <c r="L1749" s="324" t="str">
        <f t="shared" si="188"/>
        <v>扩展帧CAN消息</v>
      </c>
      <c r="M1749" s="333"/>
    </row>
    <row r="1750" spans="1:13">
      <c r="A1750" s="331"/>
      <c r="B1750" s="331"/>
      <c r="C1750" s="331"/>
      <c r="D1750" s="331"/>
      <c r="E1750" s="331"/>
      <c r="F1750" s="331"/>
      <c r="G1750" s="334" t="s">
        <v>1033</v>
      </c>
      <c r="H1750" s="291">
        <f t="shared" si="187"/>
        <v>584</v>
      </c>
      <c r="I1750" s="291">
        <v>16</v>
      </c>
      <c r="J1750" s="331"/>
      <c r="K1750" s="331"/>
      <c r="L1750" s="324" t="str">
        <f t="shared" si="188"/>
        <v>扩展帧CAN消息</v>
      </c>
      <c r="M1750" s="333"/>
    </row>
    <row r="1751" spans="1:13">
      <c r="A1751" s="331"/>
      <c r="B1751" s="331"/>
      <c r="C1751" s="331"/>
      <c r="D1751" s="331"/>
      <c r="E1751" s="331"/>
      <c r="F1751" s="331"/>
      <c r="G1751" s="334" t="s">
        <v>1034</v>
      </c>
      <c r="H1751" s="291">
        <f t="shared" si="187"/>
        <v>600</v>
      </c>
      <c r="I1751" s="291">
        <v>16</v>
      </c>
      <c r="J1751" s="331"/>
      <c r="K1751" s="331"/>
      <c r="L1751" s="324" t="str">
        <f t="shared" si="188"/>
        <v>扩展帧CAN消息</v>
      </c>
      <c r="M1751" s="333"/>
    </row>
    <row r="1752" spans="1:13">
      <c r="A1752" s="331"/>
      <c r="B1752" s="331"/>
      <c r="C1752" s="331"/>
      <c r="D1752" s="331"/>
      <c r="E1752" s="331"/>
      <c r="F1752" s="331"/>
      <c r="G1752" s="291" t="s">
        <v>120</v>
      </c>
      <c r="H1752" s="291">
        <f t="shared" si="187"/>
        <v>616</v>
      </c>
      <c r="I1752" s="291">
        <v>4</v>
      </c>
      <c r="J1752" s="331"/>
      <c r="K1752" s="331"/>
      <c r="L1752" s="324" t="str">
        <f t="shared" si="188"/>
        <v/>
      </c>
      <c r="M1752" s="333"/>
    </row>
    <row r="1753" spans="1:13">
      <c r="A1753" s="331"/>
      <c r="B1753" s="331"/>
      <c r="C1753" s="331"/>
      <c r="D1753" s="331"/>
      <c r="E1753" s="331"/>
      <c r="F1753" s="331"/>
      <c r="G1753" s="334" t="s">
        <v>1035</v>
      </c>
      <c r="H1753" s="291">
        <f t="shared" si="187"/>
        <v>620</v>
      </c>
      <c r="I1753" s="291">
        <v>16</v>
      </c>
      <c r="J1753" s="331"/>
      <c r="K1753" s="331"/>
      <c r="L1753" s="324" t="str">
        <f t="shared" si="188"/>
        <v>扩展帧CAN消息</v>
      </c>
      <c r="M1753" s="333"/>
    </row>
    <row r="1754" spans="1:13">
      <c r="A1754" s="331"/>
      <c r="B1754" s="331"/>
      <c r="C1754" s="331"/>
      <c r="D1754" s="331"/>
      <c r="E1754" s="331"/>
      <c r="F1754" s="331"/>
      <c r="G1754" s="334" t="s">
        <v>1036</v>
      </c>
      <c r="H1754" s="291">
        <f t="shared" si="187"/>
        <v>636</v>
      </c>
      <c r="I1754" s="291">
        <v>16</v>
      </c>
      <c r="J1754" s="331"/>
      <c r="K1754" s="331"/>
      <c r="L1754" s="324" t="str">
        <f t="shared" si="188"/>
        <v>扩展帧CAN消息</v>
      </c>
      <c r="M1754" s="333"/>
    </row>
    <row r="1755" spans="1:13">
      <c r="A1755" s="331"/>
      <c r="B1755" s="331"/>
      <c r="C1755" s="331"/>
      <c r="D1755" s="331"/>
      <c r="E1755" s="331"/>
      <c r="F1755" s="331"/>
      <c r="G1755" s="320" t="s">
        <v>1037</v>
      </c>
      <c r="H1755" s="291">
        <f t="shared" si="187"/>
        <v>652</v>
      </c>
      <c r="I1755" s="291">
        <v>16</v>
      </c>
      <c r="J1755" s="331"/>
      <c r="K1755" s="331"/>
      <c r="L1755" s="324" t="str">
        <f t="shared" si="188"/>
        <v>扩展帧CAN消息</v>
      </c>
      <c r="M1755" s="333"/>
    </row>
    <row r="1756" spans="1:13">
      <c r="A1756" s="331"/>
      <c r="B1756" s="331"/>
      <c r="C1756" s="331"/>
      <c r="D1756" s="331"/>
      <c r="E1756" s="331"/>
      <c r="F1756" s="331"/>
      <c r="G1756" s="291" t="s">
        <v>1038</v>
      </c>
      <c r="H1756" s="291">
        <f t="shared" si="187"/>
        <v>668</v>
      </c>
      <c r="I1756" s="291">
        <v>16</v>
      </c>
      <c r="J1756" s="331"/>
      <c r="K1756" s="331"/>
      <c r="L1756" s="324" t="str">
        <f t="shared" si="188"/>
        <v>扩展帧CAN消息</v>
      </c>
      <c r="M1756" s="333"/>
    </row>
    <row r="1757" spans="1:13">
      <c r="A1757" s="331"/>
      <c r="B1757" s="331"/>
      <c r="C1757" s="331"/>
      <c r="D1757" s="331"/>
      <c r="E1757" s="331"/>
      <c r="F1757" s="331"/>
      <c r="G1757" s="291" t="s">
        <v>120</v>
      </c>
      <c r="H1757" s="291">
        <f t="shared" si="187"/>
        <v>684</v>
      </c>
      <c r="I1757" s="291">
        <v>4</v>
      </c>
      <c r="J1757" s="331"/>
      <c r="K1757" s="331"/>
      <c r="L1757" s="324" t="str">
        <f t="shared" si="188"/>
        <v/>
      </c>
      <c r="M1757" s="333"/>
    </row>
    <row r="1758" spans="1:13">
      <c r="A1758" s="331"/>
      <c r="B1758" s="331"/>
      <c r="C1758" s="331"/>
      <c r="D1758" s="331"/>
      <c r="E1758" s="331"/>
      <c r="F1758" s="331"/>
      <c r="G1758" s="320" t="s">
        <v>1039</v>
      </c>
      <c r="H1758" s="291">
        <f t="shared" si="187"/>
        <v>688</v>
      </c>
      <c r="I1758" s="291">
        <v>16</v>
      </c>
      <c r="J1758" s="331"/>
      <c r="K1758" s="331"/>
      <c r="L1758" s="324" t="str">
        <f t="shared" si="188"/>
        <v>扩展帧CAN消息</v>
      </c>
      <c r="M1758" s="333"/>
    </row>
    <row r="1759" spans="1:13">
      <c r="A1759" s="331"/>
      <c r="B1759" s="331"/>
      <c r="C1759" s="331"/>
      <c r="D1759" s="331"/>
      <c r="E1759" s="331"/>
      <c r="F1759" s="331"/>
      <c r="G1759" s="291" t="s">
        <v>1040</v>
      </c>
      <c r="H1759" s="291">
        <f t="shared" si="187"/>
        <v>704</v>
      </c>
      <c r="I1759" s="291">
        <v>16</v>
      </c>
      <c r="J1759" s="331"/>
      <c r="K1759" s="331"/>
      <c r="L1759" s="324" t="str">
        <f t="shared" si="188"/>
        <v>扩展帧CAN消息</v>
      </c>
      <c r="M1759" s="333"/>
    </row>
    <row r="1760" spans="1:13">
      <c r="A1760" s="331"/>
      <c r="B1760" s="331"/>
      <c r="C1760" s="331"/>
      <c r="D1760" s="331"/>
      <c r="E1760" s="331"/>
      <c r="F1760" s="331"/>
      <c r="G1760" s="291" t="s">
        <v>1041</v>
      </c>
      <c r="H1760" s="291">
        <f t="shared" si="187"/>
        <v>720</v>
      </c>
      <c r="I1760" s="291">
        <v>16</v>
      </c>
      <c r="J1760" s="331"/>
      <c r="K1760" s="331"/>
      <c r="L1760" s="324" t="str">
        <f t="shared" si="188"/>
        <v>扩展帧CAN消息</v>
      </c>
      <c r="M1760" s="333"/>
    </row>
    <row r="1761" spans="1:13">
      <c r="A1761" s="331"/>
      <c r="B1761" s="331"/>
      <c r="C1761" s="331"/>
      <c r="D1761" s="331"/>
      <c r="E1761" s="331"/>
      <c r="F1761" s="331"/>
      <c r="G1761" s="320" t="s">
        <v>1042</v>
      </c>
      <c r="H1761" s="291">
        <f t="shared" si="187"/>
        <v>736</v>
      </c>
      <c r="I1761" s="291">
        <v>16</v>
      </c>
      <c r="J1761" s="331"/>
      <c r="K1761" s="331"/>
      <c r="L1761" s="324" t="str">
        <f t="shared" si="188"/>
        <v>扩展帧CAN消息</v>
      </c>
      <c r="M1761" s="333"/>
    </row>
    <row r="1762" spans="1:13">
      <c r="A1762" s="331"/>
      <c r="B1762" s="331"/>
      <c r="C1762" s="331"/>
      <c r="D1762" s="331"/>
      <c r="E1762" s="331"/>
      <c r="F1762" s="331"/>
      <c r="G1762" s="291" t="s">
        <v>120</v>
      </c>
      <c r="H1762" s="291">
        <f t="shared" si="187"/>
        <v>752</v>
      </c>
      <c r="I1762" s="291">
        <v>4</v>
      </c>
      <c r="J1762" s="331"/>
      <c r="K1762" s="331"/>
      <c r="L1762" s="324" t="str">
        <f t="shared" si="188"/>
        <v/>
      </c>
      <c r="M1762" s="333"/>
    </row>
    <row r="1763" spans="1:13">
      <c r="A1763" s="331"/>
      <c r="B1763" s="331"/>
      <c r="C1763" s="331"/>
      <c r="D1763" s="331"/>
      <c r="E1763" s="331"/>
      <c r="F1763" s="331"/>
      <c r="G1763" s="291" t="s">
        <v>1043</v>
      </c>
      <c r="H1763" s="291">
        <f t="shared" si="187"/>
        <v>756</v>
      </c>
      <c r="I1763" s="291">
        <v>16</v>
      </c>
      <c r="J1763" s="331"/>
      <c r="K1763" s="331"/>
      <c r="L1763" s="324" t="str">
        <f t="shared" si="188"/>
        <v>扩展帧CAN消息</v>
      </c>
      <c r="M1763" s="333"/>
    </row>
    <row r="1764" spans="1:13">
      <c r="A1764" s="331"/>
      <c r="B1764" s="331"/>
      <c r="C1764" s="331"/>
      <c r="D1764" s="331"/>
      <c r="E1764" s="331"/>
      <c r="F1764" s="331"/>
      <c r="G1764" s="334" t="s">
        <v>1044</v>
      </c>
      <c r="H1764" s="291">
        <f t="shared" si="187"/>
        <v>772</v>
      </c>
      <c r="I1764" s="291">
        <v>16</v>
      </c>
      <c r="J1764" s="331"/>
      <c r="K1764" s="331"/>
      <c r="L1764" s="324" t="str">
        <f t="shared" si="188"/>
        <v>扩展帧CAN消息</v>
      </c>
      <c r="M1764" s="333"/>
    </row>
    <row r="1765" spans="1:13">
      <c r="A1765" s="331"/>
      <c r="B1765" s="331"/>
      <c r="C1765" s="331"/>
      <c r="D1765" s="331"/>
      <c r="E1765" s="331"/>
      <c r="F1765" s="331"/>
      <c r="G1765" s="334" t="s">
        <v>1045</v>
      </c>
      <c r="H1765" s="291">
        <f t="shared" si="187"/>
        <v>788</v>
      </c>
      <c r="I1765" s="291">
        <v>16</v>
      </c>
      <c r="J1765" s="331"/>
      <c r="K1765" s="331"/>
      <c r="L1765" s="324" t="str">
        <f t="shared" si="188"/>
        <v>扩展帧CAN消息</v>
      </c>
      <c r="M1765" s="333"/>
    </row>
    <row r="1766" spans="1:13">
      <c r="A1766" s="331"/>
      <c r="B1766" s="331"/>
      <c r="C1766" s="331"/>
      <c r="D1766" s="331"/>
      <c r="E1766" s="331"/>
      <c r="F1766" s="331"/>
      <c r="G1766" s="334" t="s">
        <v>1046</v>
      </c>
      <c r="H1766" s="291">
        <f t="shared" si="187"/>
        <v>804</v>
      </c>
      <c r="I1766" s="291">
        <v>16</v>
      </c>
      <c r="J1766" s="331"/>
      <c r="K1766" s="331"/>
      <c r="L1766" s="324" t="str">
        <f t="shared" si="188"/>
        <v>扩展帧CAN消息</v>
      </c>
      <c r="M1766" s="333"/>
    </row>
    <row r="1767" spans="1:13">
      <c r="A1767" s="331"/>
      <c r="B1767" s="331"/>
      <c r="C1767" s="331"/>
      <c r="D1767" s="331"/>
      <c r="E1767" s="331"/>
      <c r="F1767" s="331"/>
      <c r="G1767" s="291" t="s">
        <v>120</v>
      </c>
      <c r="H1767" s="291">
        <f t="shared" si="187"/>
        <v>820</v>
      </c>
      <c r="I1767" s="291">
        <v>4</v>
      </c>
      <c r="J1767" s="331"/>
      <c r="K1767" s="331"/>
      <c r="L1767" s="324" t="str">
        <f t="shared" si="188"/>
        <v/>
      </c>
      <c r="M1767" s="333"/>
    </row>
    <row r="1768" spans="1:13">
      <c r="A1768" s="331"/>
      <c r="B1768" s="331"/>
      <c r="C1768" s="331"/>
      <c r="D1768" s="331"/>
      <c r="E1768" s="331"/>
      <c r="F1768" s="331"/>
      <c r="G1768" s="334" t="s">
        <v>1047</v>
      </c>
      <c r="H1768" s="291">
        <f t="shared" si="187"/>
        <v>824</v>
      </c>
      <c r="I1768" s="291">
        <v>16</v>
      </c>
      <c r="J1768" s="331"/>
      <c r="K1768" s="331"/>
      <c r="L1768" s="324" t="str">
        <f t="shared" si="188"/>
        <v>扩展帧CAN消息</v>
      </c>
      <c r="M1768" s="333"/>
    </row>
    <row r="1769" spans="1:13">
      <c r="A1769" s="331"/>
      <c r="B1769" s="331"/>
      <c r="C1769" s="331"/>
      <c r="D1769" s="331"/>
      <c r="E1769" s="331"/>
      <c r="F1769" s="331"/>
      <c r="G1769" s="334" t="s">
        <v>1048</v>
      </c>
      <c r="H1769" s="291">
        <f t="shared" si="187"/>
        <v>840</v>
      </c>
      <c r="I1769" s="291">
        <v>16</v>
      </c>
      <c r="J1769" s="331"/>
      <c r="K1769" s="331"/>
      <c r="L1769" s="324" t="str">
        <f t="shared" si="188"/>
        <v>扩展帧CAN消息</v>
      </c>
      <c r="M1769" s="333"/>
    </row>
    <row r="1770" spans="1:13">
      <c r="A1770" s="331"/>
      <c r="B1770" s="331"/>
      <c r="C1770" s="331"/>
      <c r="D1770" s="331"/>
      <c r="E1770" s="331"/>
      <c r="F1770" s="331"/>
      <c r="G1770" s="334" t="s">
        <v>1049</v>
      </c>
      <c r="H1770" s="291">
        <f t="shared" si="187"/>
        <v>856</v>
      </c>
      <c r="I1770" s="291">
        <v>16</v>
      </c>
      <c r="J1770" s="331"/>
      <c r="K1770" s="331"/>
      <c r="L1770" s="324" t="str">
        <f t="shared" si="188"/>
        <v>扩展帧CAN消息</v>
      </c>
      <c r="M1770" s="333"/>
    </row>
    <row r="1771" spans="1:13">
      <c r="A1771" s="331"/>
      <c r="B1771" s="331"/>
      <c r="C1771" s="331"/>
      <c r="D1771" s="331"/>
      <c r="E1771" s="331"/>
      <c r="F1771" s="331"/>
      <c r="G1771" s="334" t="s">
        <v>1050</v>
      </c>
      <c r="H1771" s="291">
        <f t="shared" ref="H1771:H1780" si="189">H1770+I1770</f>
        <v>872</v>
      </c>
      <c r="I1771" s="291">
        <v>16</v>
      </c>
      <c r="J1771" s="331"/>
      <c r="K1771" s="331"/>
      <c r="L1771" s="324" t="str">
        <f t="shared" si="188"/>
        <v>扩展帧CAN消息</v>
      </c>
      <c r="M1771" s="333"/>
    </row>
    <row r="1772" spans="1:13">
      <c r="A1772" s="331"/>
      <c r="B1772" s="331"/>
      <c r="C1772" s="331"/>
      <c r="D1772" s="331"/>
      <c r="E1772" s="331"/>
      <c r="F1772" s="331"/>
      <c r="G1772" s="291" t="s">
        <v>120</v>
      </c>
      <c r="H1772" s="291">
        <f t="shared" si="189"/>
        <v>888</v>
      </c>
      <c r="I1772" s="291">
        <v>4</v>
      </c>
      <c r="J1772" s="331"/>
      <c r="K1772" s="331"/>
      <c r="L1772" s="324" t="str">
        <f t="shared" si="188"/>
        <v/>
      </c>
      <c r="M1772" s="333"/>
    </row>
    <row r="1773" spans="1:13">
      <c r="A1773" s="331"/>
      <c r="B1773" s="331"/>
      <c r="C1773" s="331"/>
      <c r="D1773" s="331"/>
      <c r="E1773" s="331"/>
      <c r="F1773" s="331"/>
      <c r="G1773" s="334" t="s">
        <v>1051</v>
      </c>
      <c r="H1773" s="291">
        <f t="shared" si="189"/>
        <v>892</v>
      </c>
      <c r="I1773" s="291">
        <v>16</v>
      </c>
      <c r="J1773" s="331"/>
      <c r="K1773" s="331"/>
      <c r="L1773" s="324" t="str">
        <f t="shared" si="188"/>
        <v>扩展帧CAN消息</v>
      </c>
      <c r="M1773" s="333"/>
    </row>
    <row r="1774" spans="1:13">
      <c r="A1774" s="331"/>
      <c r="B1774" s="331"/>
      <c r="C1774" s="331"/>
      <c r="D1774" s="331"/>
      <c r="E1774" s="331"/>
      <c r="F1774" s="331"/>
      <c r="G1774" s="334" t="s">
        <v>1052</v>
      </c>
      <c r="H1774" s="291">
        <f t="shared" si="189"/>
        <v>908</v>
      </c>
      <c r="I1774" s="291">
        <v>16</v>
      </c>
      <c r="J1774" s="331"/>
      <c r="K1774" s="331"/>
      <c r="L1774" s="324" t="str">
        <f t="shared" si="188"/>
        <v>扩展帧CAN消息</v>
      </c>
      <c r="M1774" s="333"/>
    </row>
    <row r="1775" spans="1:13">
      <c r="A1775" s="331"/>
      <c r="B1775" s="331"/>
      <c r="C1775" s="331"/>
      <c r="D1775" s="331"/>
      <c r="E1775" s="331"/>
      <c r="F1775" s="331"/>
      <c r="G1775" s="334" t="s">
        <v>1053</v>
      </c>
      <c r="H1775" s="291">
        <f t="shared" si="189"/>
        <v>924</v>
      </c>
      <c r="I1775" s="291">
        <v>16</v>
      </c>
      <c r="J1775" s="331"/>
      <c r="K1775" s="331"/>
      <c r="L1775" s="324" t="str">
        <f t="shared" si="188"/>
        <v>扩展帧CAN消息</v>
      </c>
      <c r="M1775" s="333"/>
    </row>
    <row r="1776" spans="1:13">
      <c r="A1776" s="331"/>
      <c r="B1776" s="331"/>
      <c r="C1776" s="331"/>
      <c r="D1776" s="331"/>
      <c r="E1776" s="331"/>
      <c r="F1776" s="331"/>
      <c r="G1776" s="334" t="s">
        <v>1054</v>
      </c>
      <c r="H1776" s="291">
        <f t="shared" si="189"/>
        <v>940</v>
      </c>
      <c r="I1776" s="291">
        <v>16</v>
      </c>
      <c r="J1776" s="331"/>
      <c r="K1776" s="331"/>
      <c r="L1776" s="324" t="str">
        <f t="shared" si="188"/>
        <v>扩展帧CAN消息</v>
      </c>
      <c r="M1776" s="333"/>
    </row>
    <row r="1777" spans="1:13">
      <c r="A1777" s="331"/>
      <c r="B1777" s="331"/>
      <c r="C1777" s="331"/>
      <c r="D1777" s="331"/>
      <c r="E1777" s="331"/>
      <c r="F1777" s="331"/>
      <c r="G1777" s="291" t="s">
        <v>120</v>
      </c>
      <c r="H1777" s="291">
        <f t="shared" si="189"/>
        <v>956</v>
      </c>
      <c r="I1777" s="291">
        <v>4</v>
      </c>
      <c r="J1777" s="331"/>
      <c r="K1777" s="331"/>
      <c r="L1777" s="324" t="str">
        <f t="shared" si="188"/>
        <v/>
      </c>
      <c r="M1777" s="333"/>
    </row>
    <row r="1778" spans="1:13">
      <c r="A1778" s="331"/>
      <c r="B1778" s="331"/>
      <c r="C1778" s="331"/>
      <c r="D1778" s="331"/>
      <c r="E1778" s="331"/>
      <c r="F1778" s="331"/>
      <c r="G1778" s="334" t="s">
        <v>1055</v>
      </c>
      <c r="H1778" s="291">
        <f t="shared" si="189"/>
        <v>960</v>
      </c>
      <c r="I1778" s="291">
        <v>16</v>
      </c>
      <c r="J1778" s="331"/>
      <c r="K1778" s="331"/>
      <c r="L1778" s="324" t="str">
        <f t="shared" si="188"/>
        <v>扩展帧CAN消息</v>
      </c>
      <c r="M1778" s="333"/>
    </row>
    <row r="1779" spans="1:13">
      <c r="A1779" s="331"/>
      <c r="B1779" s="331"/>
      <c r="C1779" s="331"/>
      <c r="D1779" s="331"/>
      <c r="E1779" s="331"/>
      <c r="F1779" s="331"/>
      <c r="G1779" s="334" t="s">
        <v>1056</v>
      </c>
      <c r="H1779" s="291">
        <f t="shared" si="189"/>
        <v>976</v>
      </c>
      <c r="I1779" s="291">
        <v>16</v>
      </c>
      <c r="J1779" s="331"/>
      <c r="K1779" s="331"/>
      <c r="L1779" s="324" t="str">
        <f t="shared" si="188"/>
        <v>扩展帧CAN消息</v>
      </c>
      <c r="M1779" s="333"/>
    </row>
    <row r="1780" spans="1:13">
      <c r="A1780" s="331"/>
      <c r="B1780" s="331"/>
      <c r="C1780" s="331"/>
      <c r="D1780" s="331"/>
      <c r="E1780" s="331"/>
      <c r="F1780" s="331"/>
      <c r="G1780" s="334" t="s">
        <v>1057</v>
      </c>
      <c r="H1780" s="291">
        <f t="shared" si="189"/>
        <v>992</v>
      </c>
      <c r="I1780" s="291">
        <v>16</v>
      </c>
      <c r="J1780" s="331"/>
      <c r="K1780" s="331"/>
      <c r="L1780" s="324" t="str">
        <f t="shared" si="188"/>
        <v>扩展帧CAN消息</v>
      </c>
      <c r="M1780" s="333"/>
    </row>
    <row r="1781" spans="1:13">
      <c r="A1781" s="338" t="s">
        <v>1066</v>
      </c>
      <c r="B1781" s="338" t="s">
        <v>1067</v>
      </c>
      <c r="C1781" s="338" t="s">
        <v>1068</v>
      </c>
      <c r="D1781" s="338" t="s">
        <v>118</v>
      </c>
      <c r="E1781" s="338">
        <v>7050</v>
      </c>
      <c r="F1781" s="338" t="s">
        <v>17</v>
      </c>
      <c r="G1781" s="339" t="s">
        <v>87</v>
      </c>
      <c r="H1781" s="338">
        <v>0</v>
      </c>
      <c r="I1781" s="338">
        <v>4</v>
      </c>
      <c r="J1781" s="338" t="s">
        <v>97</v>
      </c>
      <c r="K1781" s="338">
        <v>400</v>
      </c>
      <c r="L1781" s="340" t="str">
        <f t="shared" ref="L1781:L1844" si="190">IF(RIGHT(G1781,5)="FRAME","扩展帧CAN消息","")</f>
        <v/>
      </c>
      <c r="M1781" s="341">
        <v>1402201</v>
      </c>
    </row>
    <row r="1782" spans="1:13">
      <c r="A1782" s="338"/>
      <c r="B1782" s="338"/>
      <c r="C1782" s="338"/>
      <c r="D1782" s="338"/>
      <c r="E1782" s="338"/>
      <c r="F1782" s="338"/>
      <c r="G1782" s="339" t="s">
        <v>88</v>
      </c>
      <c r="H1782" s="338">
        <f>H1781+I1781</f>
        <v>4</v>
      </c>
      <c r="I1782" s="338">
        <v>4</v>
      </c>
      <c r="J1782" s="338"/>
      <c r="K1782" s="338"/>
      <c r="L1782" s="340" t="str">
        <f t="shared" si="190"/>
        <v/>
      </c>
      <c r="M1782" s="342"/>
    </row>
    <row r="1783" ht="15.6" spans="1:13">
      <c r="A1783" s="338"/>
      <c r="B1783" s="338"/>
      <c r="C1783" s="338"/>
      <c r="D1783" s="338"/>
      <c r="E1783" s="338"/>
      <c r="F1783" s="338"/>
      <c r="G1783" s="343" t="s">
        <v>1069</v>
      </c>
      <c r="H1783" s="338">
        <f t="shared" ref="H1783:H1814" si="191">H1782+I1782</f>
        <v>8</v>
      </c>
      <c r="I1783" s="338">
        <v>16</v>
      </c>
      <c r="J1783" s="338"/>
      <c r="K1783" s="338"/>
      <c r="L1783" s="344" t="str">
        <f t="shared" si="190"/>
        <v>扩展帧CAN消息</v>
      </c>
      <c r="M1783" s="342"/>
    </row>
    <row r="1784" ht="15.6" spans="1:13">
      <c r="A1784" s="338"/>
      <c r="B1784" s="338"/>
      <c r="C1784" s="338"/>
      <c r="D1784" s="338"/>
      <c r="E1784" s="338"/>
      <c r="F1784" s="338"/>
      <c r="G1784" s="343" t="s">
        <v>1070</v>
      </c>
      <c r="H1784" s="338">
        <f t="shared" si="191"/>
        <v>24</v>
      </c>
      <c r="I1784" s="338">
        <v>16</v>
      </c>
      <c r="J1784" s="338"/>
      <c r="K1784" s="338"/>
      <c r="L1784" s="344" t="str">
        <f t="shared" si="190"/>
        <v>扩展帧CAN消息</v>
      </c>
      <c r="M1784" s="342"/>
    </row>
    <row r="1785" ht="15.6" spans="1:13">
      <c r="A1785" s="338"/>
      <c r="B1785" s="338"/>
      <c r="C1785" s="338"/>
      <c r="D1785" s="338"/>
      <c r="E1785" s="338"/>
      <c r="F1785" s="338"/>
      <c r="G1785" s="343" t="s">
        <v>1071</v>
      </c>
      <c r="H1785" s="338">
        <f t="shared" si="191"/>
        <v>40</v>
      </c>
      <c r="I1785" s="338">
        <v>16</v>
      </c>
      <c r="J1785" s="338"/>
      <c r="K1785" s="338"/>
      <c r="L1785" s="344" t="str">
        <f t="shared" si="190"/>
        <v>扩展帧CAN消息</v>
      </c>
      <c r="M1785" s="342"/>
    </row>
    <row r="1786" ht="15.6" spans="1:13">
      <c r="A1786" s="338"/>
      <c r="B1786" s="338"/>
      <c r="C1786" s="338"/>
      <c r="D1786" s="338"/>
      <c r="E1786" s="338"/>
      <c r="F1786" s="338"/>
      <c r="G1786" s="343" t="s">
        <v>1072</v>
      </c>
      <c r="H1786" s="338">
        <f t="shared" si="191"/>
        <v>56</v>
      </c>
      <c r="I1786" s="338">
        <v>16</v>
      </c>
      <c r="J1786" s="338"/>
      <c r="K1786" s="338"/>
      <c r="L1786" s="344" t="str">
        <f t="shared" si="190"/>
        <v>扩展帧CAN消息</v>
      </c>
      <c r="M1786" s="342"/>
    </row>
    <row r="1787" ht="15.6" spans="1:13">
      <c r="A1787" s="338"/>
      <c r="B1787" s="338"/>
      <c r="C1787" s="338"/>
      <c r="D1787" s="338"/>
      <c r="E1787" s="338"/>
      <c r="F1787" s="338"/>
      <c r="G1787" s="345" t="s">
        <v>88</v>
      </c>
      <c r="H1787" s="338">
        <f t="shared" si="191"/>
        <v>72</v>
      </c>
      <c r="I1787" s="338">
        <v>4</v>
      </c>
      <c r="J1787" s="338"/>
      <c r="K1787" s="338"/>
      <c r="L1787" s="340" t="str">
        <f t="shared" si="190"/>
        <v/>
      </c>
      <c r="M1787" s="342"/>
    </row>
    <row r="1788" ht="15.6" spans="1:13">
      <c r="A1788" s="338"/>
      <c r="B1788" s="338"/>
      <c r="C1788" s="338"/>
      <c r="D1788" s="338"/>
      <c r="E1788" s="338"/>
      <c r="F1788" s="338"/>
      <c r="G1788" s="343" t="s">
        <v>1073</v>
      </c>
      <c r="H1788" s="338">
        <f t="shared" si="191"/>
        <v>76</v>
      </c>
      <c r="I1788" s="338">
        <v>16</v>
      </c>
      <c r="J1788" s="338"/>
      <c r="K1788" s="338"/>
      <c r="L1788" s="344" t="str">
        <f t="shared" si="190"/>
        <v>扩展帧CAN消息</v>
      </c>
      <c r="M1788" s="342"/>
    </row>
    <row r="1789" ht="15.6" spans="1:13">
      <c r="A1789" s="338"/>
      <c r="B1789" s="338"/>
      <c r="C1789" s="338"/>
      <c r="D1789" s="338"/>
      <c r="E1789" s="338"/>
      <c r="F1789" s="338"/>
      <c r="G1789" s="343" t="s">
        <v>1074</v>
      </c>
      <c r="H1789" s="338">
        <f t="shared" si="191"/>
        <v>92</v>
      </c>
      <c r="I1789" s="338">
        <v>16</v>
      </c>
      <c r="J1789" s="338"/>
      <c r="K1789" s="338"/>
      <c r="L1789" s="344" t="str">
        <f t="shared" si="190"/>
        <v>扩展帧CAN消息</v>
      </c>
      <c r="M1789" s="342"/>
    </row>
    <row r="1790" ht="15.6" spans="1:13">
      <c r="A1790" s="338"/>
      <c r="B1790" s="338"/>
      <c r="C1790" s="338"/>
      <c r="D1790" s="338"/>
      <c r="E1790" s="338"/>
      <c r="F1790" s="338"/>
      <c r="G1790" s="343" t="s">
        <v>1075</v>
      </c>
      <c r="H1790" s="338">
        <f t="shared" si="191"/>
        <v>108</v>
      </c>
      <c r="I1790" s="338">
        <v>16</v>
      </c>
      <c r="J1790" s="338"/>
      <c r="K1790" s="338"/>
      <c r="L1790" s="344" t="str">
        <f t="shared" si="190"/>
        <v>扩展帧CAN消息</v>
      </c>
      <c r="M1790" s="342"/>
    </row>
    <row r="1791" ht="15.6" spans="1:13">
      <c r="A1791" s="338"/>
      <c r="B1791" s="338"/>
      <c r="C1791" s="338"/>
      <c r="D1791" s="338"/>
      <c r="E1791" s="338"/>
      <c r="F1791" s="338"/>
      <c r="G1791" s="343" t="s">
        <v>1076</v>
      </c>
      <c r="H1791" s="338">
        <f t="shared" si="191"/>
        <v>124</v>
      </c>
      <c r="I1791" s="338">
        <v>16</v>
      </c>
      <c r="J1791" s="338"/>
      <c r="K1791" s="338"/>
      <c r="L1791" s="344" t="str">
        <f t="shared" si="190"/>
        <v>扩展帧CAN消息</v>
      </c>
      <c r="M1791" s="342"/>
    </row>
    <row r="1792" ht="15.6" spans="1:13">
      <c r="A1792" s="338"/>
      <c r="B1792" s="338"/>
      <c r="C1792" s="338"/>
      <c r="D1792" s="338"/>
      <c r="E1792" s="338"/>
      <c r="F1792" s="338"/>
      <c r="G1792" s="345" t="s">
        <v>88</v>
      </c>
      <c r="H1792" s="338">
        <f t="shared" si="191"/>
        <v>140</v>
      </c>
      <c r="I1792" s="338">
        <v>4</v>
      </c>
      <c r="J1792" s="338"/>
      <c r="K1792" s="338"/>
      <c r="L1792" s="340" t="str">
        <f t="shared" si="190"/>
        <v/>
      </c>
      <c r="M1792" s="342"/>
    </row>
    <row r="1793" ht="15.6" spans="1:13">
      <c r="A1793" s="338"/>
      <c r="B1793" s="338"/>
      <c r="C1793" s="338"/>
      <c r="D1793" s="338"/>
      <c r="E1793" s="338"/>
      <c r="F1793" s="338"/>
      <c r="G1793" s="343" t="s">
        <v>1077</v>
      </c>
      <c r="H1793" s="338">
        <f t="shared" si="191"/>
        <v>144</v>
      </c>
      <c r="I1793" s="338">
        <v>16</v>
      </c>
      <c r="J1793" s="338"/>
      <c r="K1793" s="338"/>
      <c r="L1793" s="344" t="str">
        <f t="shared" si="190"/>
        <v>扩展帧CAN消息</v>
      </c>
      <c r="M1793" s="342"/>
    </row>
    <row r="1794" ht="15.6" spans="1:13">
      <c r="A1794" s="338"/>
      <c r="B1794" s="338"/>
      <c r="C1794" s="338"/>
      <c r="D1794" s="338"/>
      <c r="E1794" s="338"/>
      <c r="F1794" s="338"/>
      <c r="G1794" s="343" t="s">
        <v>1078</v>
      </c>
      <c r="H1794" s="338">
        <f t="shared" si="191"/>
        <v>160</v>
      </c>
      <c r="I1794" s="338">
        <v>16</v>
      </c>
      <c r="J1794" s="338"/>
      <c r="K1794" s="338"/>
      <c r="L1794" s="344" t="str">
        <f t="shared" si="190"/>
        <v>扩展帧CAN消息</v>
      </c>
      <c r="M1794" s="342"/>
    </row>
    <row r="1795" ht="15.6" spans="1:13">
      <c r="A1795" s="338"/>
      <c r="B1795" s="338"/>
      <c r="C1795" s="338"/>
      <c r="D1795" s="338"/>
      <c r="E1795" s="338"/>
      <c r="F1795" s="338"/>
      <c r="G1795" s="343" t="s">
        <v>1079</v>
      </c>
      <c r="H1795" s="338">
        <f t="shared" si="191"/>
        <v>176</v>
      </c>
      <c r="I1795" s="338">
        <v>16</v>
      </c>
      <c r="J1795" s="338"/>
      <c r="K1795" s="338"/>
      <c r="L1795" s="344" t="str">
        <f t="shared" si="190"/>
        <v>扩展帧CAN消息</v>
      </c>
      <c r="M1795" s="342"/>
    </row>
    <row r="1796" ht="15.6" spans="1:13">
      <c r="A1796" s="338"/>
      <c r="B1796" s="338"/>
      <c r="C1796" s="338"/>
      <c r="D1796" s="338"/>
      <c r="E1796" s="338"/>
      <c r="F1796" s="338"/>
      <c r="G1796" s="343" t="s">
        <v>1080</v>
      </c>
      <c r="H1796" s="338">
        <f t="shared" si="191"/>
        <v>192</v>
      </c>
      <c r="I1796" s="338">
        <v>16</v>
      </c>
      <c r="J1796" s="338"/>
      <c r="K1796" s="338"/>
      <c r="L1796" s="344" t="str">
        <f t="shared" si="190"/>
        <v>扩展帧CAN消息</v>
      </c>
      <c r="M1796" s="342"/>
    </row>
    <row r="1797" ht="15.6" spans="1:13">
      <c r="A1797" s="338"/>
      <c r="B1797" s="338"/>
      <c r="C1797" s="338"/>
      <c r="D1797" s="338"/>
      <c r="E1797" s="338"/>
      <c r="F1797" s="338"/>
      <c r="G1797" s="345" t="s">
        <v>88</v>
      </c>
      <c r="H1797" s="338">
        <f t="shared" si="191"/>
        <v>208</v>
      </c>
      <c r="I1797" s="338">
        <v>4</v>
      </c>
      <c r="J1797" s="338"/>
      <c r="K1797" s="338"/>
      <c r="L1797" s="340" t="str">
        <f t="shared" si="190"/>
        <v/>
      </c>
      <c r="M1797" s="342"/>
    </row>
    <row r="1798" ht="15.6" spans="1:13">
      <c r="A1798" s="338"/>
      <c r="B1798" s="338"/>
      <c r="C1798" s="338"/>
      <c r="D1798" s="338"/>
      <c r="E1798" s="338"/>
      <c r="F1798" s="338"/>
      <c r="G1798" s="343" t="s">
        <v>1081</v>
      </c>
      <c r="H1798" s="338">
        <f t="shared" si="191"/>
        <v>212</v>
      </c>
      <c r="I1798" s="338">
        <v>16</v>
      </c>
      <c r="J1798" s="338"/>
      <c r="K1798" s="338"/>
      <c r="L1798" s="344" t="str">
        <f t="shared" si="190"/>
        <v>扩展帧CAN消息</v>
      </c>
      <c r="M1798" s="342"/>
    </row>
    <row r="1799" ht="15.6" spans="1:13">
      <c r="A1799" s="338"/>
      <c r="B1799" s="338"/>
      <c r="C1799" s="338"/>
      <c r="D1799" s="338"/>
      <c r="E1799" s="338"/>
      <c r="F1799" s="338"/>
      <c r="G1799" s="343" t="s">
        <v>1082</v>
      </c>
      <c r="H1799" s="338">
        <f t="shared" si="191"/>
        <v>228</v>
      </c>
      <c r="I1799" s="338">
        <v>16</v>
      </c>
      <c r="J1799" s="338"/>
      <c r="K1799" s="338"/>
      <c r="L1799" s="344" t="str">
        <f t="shared" si="190"/>
        <v>扩展帧CAN消息</v>
      </c>
      <c r="M1799" s="342"/>
    </row>
    <row r="1800" ht="15.6" spans="1:13">
      <c r="A1800" s="338"/>
      <c r="B1800" s="338"/>
      <c r="C1800" s="338"/>
      <c r="D1800" s="338"/>
      <c r="E1800" s="338"/>
      <c r="F1800" s="338"/>
      <c r="G1800" s="343" t="s">
        <v>1083</v>
      </c>
      <c r="H1800" s="338">
        <f t="shared" si="191"/>
        <v>244</v>
      </c>
      <c r="I1800" s="338">
        <v>16</v>
      </c>
      <c r="J1800" s="338"/>
      <c r="K1800" s="338"/>
      <c r="L1800" s="344" t="str">
        <f t="shared" si="190"/>
        <v>扩展帧CAN消息</v>
      </c>
      <c r="M1800" s="342"/>
    </row>
    <row r="1801" ht="15.6" spans="1:13">
      <c r="A1801" s="338"/>
      <c r="B1801" s="338"/>
      <c r="C1801" s="338"/>
      <c r="D1801" s="338"/>
      <c r="E1801" s="338"/>
      <c r="F1801" s="338"/>
      <c r="G1801" s="343" t="s">
        <v>1084</v>
      </c>
      <c r="H1801" s="338">
        <f t="shared" si="191"/>
        <v>260</v>
      </c>
      <c r="I1801" s="338">
        <v>16</v>
      </c>
      <c r="J1801" s="338"/>
      <c r="K1801" s="338"/>
      <c r="L1801" s="344" t="str">
        <f t="shared" si="190"/>
        <v>扩展帧CAN消息</v>
      </c>
      <c r="M1801" s="342"/>
    </row>
    <row r="1802" ht="15.6" spans="1:13">
      <c r="A1802" s="338"/>
      <c r="B1802" s="338"/>
      <c r="C1802" s="338"/>
      <c r="D1802" s="338"/>
      <c r="E1802" s="338"/>
      <c r="F1802" s="338"/>
      <c r="G1802" s="345" t="s">
        <v>88</v>
      </c>
      <c r="H1802" s="338">
        <f t="shared" si="191"/>
        <v>276</v>
      </c>
      <c r="I1802" s="338">
        <v>4</v>
      </c>
      <c r="J1802" s="338"/>
      <c r="K1802" s="338"/>
      <c r="L1802" s="340" t="str">
        <f t="shared" si="190"/>
        <v/>
      </c>
      <c r="M1802" s="342"/>
    </row>
    <row r="1803" ht="15.6" spans="1:13">
      <c r="A1803" s="338"/>
      <c r="B1803" s="338"/>
      <c r="C1803" s="338"/>
      <c r="D1803" s="338"/>
      <c r="E1803" s="338"/>
      <c r="F1803" s="338"/>
      <c r="G1803" s="343" t="s">
        <v>1085</v>
      </c>
      <c r="H1803" s="338">
        <f t="shared" si="191"/>
        <v>280</v>
      </c>
      <c r="I1803" s="338">
        <v>16</v>
      </c>
      <c r="J1803" s="338"/>
      <c r="K1803" s="338"/>
      <c r="L1803" s="344" t="str">
        <f t="shared" si="190"/>
        <v>扩展帧CAN消息</v>
      </c>
      <c r="M1803" s="342"/>
    </row>
    <row r="1804" ht="15.6" spans="1:13">
      <c r="A1804" s="338"/>
      <c r="B1804" s="338"/>
      <c r="C1804" s="338"/>
      <c r="D1804" s="338"/>
      <c r="E1804" s="338"/>
      <c r="F1804" s="338"/>
      <c r="G1804" s="343" t="s">
        <v>1086</v>
      </c>
      <c r="H1804" s="338">
        <f t="shared" si="191"/>
        <v>296</v>
      </c>
      <c r="I1804" s="338">
        <v>16</v>
      </c>
      <c r="J1804" s="338"/>
      <c r="K1804" s="338"/>
      <c r="L1804" s="344" t="str">
        <f t="shared" si="190"/>
        <v>扩展帧CAN消息</v>
      </c>
      <c r="M1804" s="342"/>
    </row>
    <row r="1805" ht="15.6" spans="1:13">
      <c r="A1805" s="338"/>
      <c r="B1805" s="338"/>
      <c r="C1805" s="338"/>
      <c r="D1805" s="338"/>
      <c r="E1805" s="338"/>
      <c r="F1805" s="338"/>
      <c r="G1805" s="343" t="s">
        <v>1087</v>
      </c>
      <c r="H1805" s="338">
        <f t="shared" si="191"/>
        <v>312</v>
      </c>
      <c r="I1805" s="338">
        <v>16</v>
      </c>
      <c r="J1805" s="338"/>
      <c r="K1805" s="338"/>
      <c r="L1805" s="344" t="str">
        <f t="shared" si="190"/>
        <v>扩展帧CAN消息</v>
      </c>
      <c r="M1805" s="342"/>
    </row>
    <row r="1806" ht="15.6" spans="1:13">
      <c r="A1806" s="338"/>
      <c r="B1806" s="338"/>
      <c r="C1806" s="338"/>
      <c r="D1806" s="338"/>
      <c r="E1806" s="338"/>
      <c r="F1806" s="338"/>
      <c r="G1806" s="343" t="s">
        <v>1088</v>
      </c>
      <c r="H1806" s="338">
        <f t="shared" si="191"/>
        <v>328</v>
      </c>
      <c r="I1806" s="338">
        <v>16</v>
      </c>
      <c r="J1806" s="338"/>
      <c r="K1806" s="338"/>
      <c r="L1806" s="344" t="str">
        <f t="shared" si="190"/>
        <v>扩展帧CAN消息</v>
      </c>
      <c r="M1806" s="342"/>
    </row>
    <row r="1807" ht="15.6" spans="1:13">
      <c r="A1807" s="338"/>
      <c r="B1807" s="338"/>
      <c r="C1807" s="338"/>
      <c r="D1807" s="338"/>
      <c r="E1807" s="338"/>
      <c r="F1807" s="338"/>
      <c r="G1807" s="345" t="s">
        <v>88</v>
      </c>
      <c r="H1807" s="338">
        <f t="shared" si="191"/>
        <v>344</v>
      </c>
      <c r="I1807" s="338">
        <v>4</v>
      </c>
      <c r="J1807" s="338"/>
      <c r="K1807" s="338"/>
      <c r="L1807" s="340" t="str">
        <f t="shared" si="190"/>
        <v/>
      </c>
      <c r="M1807" s="342"/>
    </row>
    <row r="1808" ht="15.6" spans="1:13">
      <c r="A1808" s="338"/>
      <c r="B1808" s="338"/>
      <c r="C1808" s="338"/>
      <c r="D1808" s="338"/>
      <c r="E1808" s="338"/>
      <c r="F1808" s="338"/>
      <c r="G1808" s="343" t="s">
        <v>1089</v>
      </c>
      <c r="H1808" s="338">
        <f t="shared" si="191"/>
        <v>348</v>
      </c>
      <c r="I1808" s="338">
        <v>16</v>
      </c>
      <c r="J1808" s="338"/>
      <c r="K1808" s="338"/>
      <c r="L1808" s="344" t="str">
        <f t="shared" si="190"/>
        <v>扩展帧CAN消息</v>
      </c>
      <c r="M1808" s="342"/>
    </row>
    <row r="1809" ht="15.6" spans="1:13">
      <c r="A1809" s="338"/>
      <c r="B1809" s="338"/>
      <c r="C1809" s="338"/>
      <c r="D1809" s="338"/>
      <c r="E1809" s="338"/>
      <c r="F1809" s="338"/>
      <c r="G1809" s="343" t="s">
        <v>1090</v>
      </c>
      <c r="H1809" s="338">
        <f t="shared" si="191"/>
        <v>364</v>
      </c>
      <c r="I1809" s="338">
        <v>16</v>
      </c>
      <c r="J1809" s="338"/>
      <c r="K1809" s="338"/>
      <c r="L1809" s="344" t="str">
        <f t="shared" si="190"/>
        <v>扩展帧CAN消息</v>
      </c>
      <c r="M1809" s="342"/>
    </row>
    <row r="1810" ht="15.6" spans="1:13">
      <c r="A1810" s="338"/>
      <c r="B1810" s="338"/>
      <c r="C1810" s="338"/>
      <c r="D1810" s="338"/>
      <c r="E1810" s="338"/>
      <c r="F1810" s="338"/>
      <c r="G1810" s="343" t="s">
        <v>1091</v>
      </c>
      <c r="H1810" s="338">
        <f t="shared" si="191"/>
        <v>380</v>
      </c>
      <c r="I1810" s="338">
        <v>16</v>
      </c>
      <c r="J1810" s="338"/>
      <c r="K1810" s="338"/>
      <c r="L1810" s="344" t="str">
        <f t="shared" si="190"/>
        <v>扩展帧CAN消息</v>
      </c>
      <c r="M1810" s="342"/>
    </row>
    <row r="1811" ht="15.6" spans="1:13">
      <c r="A1811" s="338"/>
      <c r="B1811" s="338"/>
      <c r="C1811" s="338"/>
      <c r="D1811" s="338"/>
      <c r="E1811" s="338"/>
      <c r="F1811" s="338"/>
      <c r="G1811" s="343" t="s">
        <v>1092</v>
      </c>
      <c r="H1811" s="338">
        <f t="shared" si="191"/>
        <v>396</v>
      </c>
      <c r="I1811" s="338">
        <v>16</v>
      </c>
      <c r="J1811" s="338"/>
      <c r="K1811" s="338"/>
      <c r="L1811" s="344" t="str">
        <f t="shared" si="190"/>
        <v>扩展帧CAN消息</v>
      </c>
      <c r="M1811" s="342"/>
    </row>
    <row r="1812" ht="15.6" spans="1:13">
      <c r="A1812" s="338"/>
      <c r="B1812" s="338"/>
      <c r="C1812" s="338"/>
      <c r="D1812" s="338"/>
      <c r="E1812" s="338"/>
      <c r="F1812" s="338"/>
      <c r="G1812" s="345" t="s">
        <v>88</v>
      </c>
      <c r="H1812" s="338">
        <f t="shared" si="191"/>
        <v>412</v>
      </c>
      <c r="I1812" s="338">
        <v>4</v>
      </c>
      <c r="J1812" s="338"/>
      <c r="K1812" s="338"/>
      <c r="L1812" s="340" t="str">
        <f t="shared" si="190"/>
        <v/>
      </c>
      <c r="M1812" s="342"/>
    </row>
    <row r="1813" ht="15.6" spans="1:13">
      <c r="A1813" s="338"/>
      <c r="B1813" s="338"/>
      <c r="C1813" s="338"/>
      <c r="D1813" s="338"/>
      <c r="E1813" s="338"/>
      <c r="F1813" s="338"/>
      <c r="G1813" s="343" t="s">
        <v>1093</v>
      </c>
      <c r="H1813" s="338">
        <f t="shared" si="191"/>
        <v>416</v>
      </c>
      <c r="I1813" s="338">
        <v>16</v>
      </c>
      <c r="J1813" s="338"/>
      <c r="K1813" s="338"/>
      <c r="L1813" s="344" t="str">
        <f t="shared" si="190"/>
        <v>扩展帧CAN消息</v>
      </c>
      <c r="M1813" s="342"/>
    </row>
    <row r="1814" ht="15.6" spans="1:13">
      <c r="A1814" s="338"/>
      <c r="B1814" s="338"/>
      <c r="C1814" s="338"/>
      <c r="D1814" s="338"/>
      <c r="E1814" s="338"/>
      <c r="F1814" s="338"/>
      <c r="G1814" s="343" t="s">
        <v>1094</v>
      </c>
      <c r="H1814" s="338">
        <f t="shared" si="191"/>
        <v>432</v>
      </c>
      <c r="I1814" s="338">
        <v>16</v>
      </c>
      <c r="J1814" s="338"/>
      <c r="K1814" s="338"/>
      <c r="L1814" s="344" t="str">
        <f t="shared" si="190"/>
        <v>扩展帧CAN消息</v>
      </c>
      <c r="M1814" s="342"/>
    </row>
    <row r="1815" ht="15.6" spans="1:13">
      <c r="A1815" s="338"/>
      <c r="B1815" s="338"/>
      <c r="C1815" s="338"/>
      <c r="D1815" s="338"/>
      <c r="E1815" s="338"/>
      <c r="F1815" s="338"/>
      <c r="G1815" s="343" t="s">
        <v>1095</v>
      </c>
      <c r="H1815" s="338">
        <f t="shared" ref="H1815:H1846" si="192">H1814+I1814</f>
        <v>448</v>
      </c>
      <c r="I1815" s="338">
        <v>16</v>
      </c>
      <c r="J1815" s="338"/>
      <c r="K1815" s="338"/>
      <c r="L1815" s="344" t="str">
        <f t="shared" si="190"/>
        <v>扩展帧CAN消息</v>
      </c>
      <c r="M1815" s="342"/>
    </row>
    <row r="1816" ht="15.6" spans="1:13">
      <c r="A1816" s="338"/>
      <c r="B1816" s="338"/>
      <c r="C1816" s="338"/>
      <c r="D1816" s="338"/>
      <c r="E1816" s="338"/>
      <c r="F1816" s="338"/>
      <c r="G1816" s="343" t="s">
        <v>1096</v>
      </c>
      <c r="H1816" s="338">
        <f t="shared" si="192"/>
        <v>464</v>
      </c>
      <c r="I1816" s="338">
        <v>16</v>
      </c>
      <c r="J1816" s="338"/>
      <c r="K1816" s="338"/>
      <c r="L1816" s="344" t="str">
        <f t="shared" si="190"/>
        <v>扩展帧CAN消息</v>
      </c>
      <c r="M1816" s="342"/>
    </row>
    <row r="1817" ht="15.6" spans="1:13">
      <c r="A1817" s="338"/>
      <c r="B1817" s="338"/>
      <c r="C1817" s="338"/>
      <c r="D1817" s="338"/>
      <c r="E1817" s="338"/>
      <c r="F1817" s="338"/>
      <c r="G1817" s="345" t="s">
        <v>88</v>
      </c>
      <c r="H1817" s="338">
        <f t="shared" si="192"/>
        <v>480</v>
      </c>
      <c r="I1817" s="338">
        <v>4</v>
      </c>
      <c r="J1817" s="338"/>
      <c r="K1817" s="338"/>
      <c r="L1817" s="340" t="str">
        <f t="shared" si="190"/>
        <v/>
      </c>
      <c r="M1817" s="342"/>
    </row>
    <row r="1818" ht="15.6" spans="1:13">
      <c r="A1818" s="338"/>
      <c r="B1818" s="338"/>
      <c r="C1818" s="338"/>
      <c r="D1818" s="338"/>
      <c r="E1818" s="338"/>
      <c r="F1818" s="338"/>
      <c r="G1818" s="343" t="s">
        <v>1097</v>
      </c>
      <c r="H1818" s="338">
        <f t="shared" si="192"/>
        <v>484</v>
      </c>
      <c r="I1818" s="338">
        <v>16</v>
      </c>
      <c r="J1818" s="338"/>
      <c r="K1818" s="338"/>
      <c r="L1818" s="344" t="str">
        <f t="shared" si="190"/>
        <v>扩展帧CAN消息</v>
      </c>
      <c r="M1818" s="342"/>
    </row>
    <row r="1819" ht="15.6" spans="1:13">
      <c r="A1819" s="338"/>
      <c r="B1819" s="338"/>
      <c r="C1819" s="338"/>
      <c r="D1819" s="338"/>
      <c r="E1819" s="338"/>
      <c r="F1819" s="338"/>
      <c r="G1819" s="343" t="s">
        <v>1098</v>
      </c>
      <c r="H1819" s="338">
        <f t="shared" si="192"/>
        <v>500</v>
      </c>
      <c r="I1819" s="338">
        <v>16</v>
      </c>
      <c r="J1819" s="338"/>
      <c r="K1819" s="338"/>
      <c r="L1819" s="344" t="str">
        <f t="shared" si="190"/>
        <v>扩展帧CAN消息</v>
      </c>
      <c r="M1819" s="342"/>
    </row>
    <row r="1820" ht="15.6" spans="1:13">
      <c r="A1820" s="338"/>
      <c r="B1820" s="338"/>
      <c r="C1820" s="338"/>
      <c r="D1820" s="338"/>
      <c r="E1820" s="338"/>
      <c r="F1820" s="338"/>
      <c r="G1820" s="343" t="s">
        <v>1099</v>
      </c>
      <c r="H1820" s="338">
        <f t="shared" si="192"/>
        <v>516</v>
      </c>
      <c r="I1820" s="338">
        <v>16</v>
      </c>
      <c r="J1820" s="338"/>
      <c r="K1820" s="338"/>
      <c r="L1820" s="344" t="str">
        <f t="shared" si="190"/>
        <v>扩展帧CAN消息</v>
      </c>
      <c r="M1820" s="342"/>
    </row>
    <row r="1821" ht="15.6" spans="1:13">
      <c r="A1821" s="338"/>
      <c r="B1821" s="338"/>
      <c r="C1821" s="338"/>
      <c r="D1821" s="338"/>
      <c r="E1821" s="338"/>
      <c r="F1821" s="338"/>
      <c r="G1821" s="343" t="s">
        <v>1100</v>
      </c>
      <c r="H1821" s="338">
        <f t="shared" si="192"/>
        <v>532</v>
      </c>
      <c r="I1821" s="338">
        <v>16</v>
      </c>
      <c r="J1821" s="338"/>
      <c r="K1821" s="338"/>
      <c r="L1821" s="344" t="str">
        <f t="shared" si="190"/>
        <v>扩展帧CAN消息</v>
      </c>
      <c r="M1821" s="342"/>
    </row>
    <row r="1822" ht="15.6" spans="1:13">
      <c r="A1822" s="338"/>
      <c r="B1822" s="338"/>
      <c r="C1822" s="338"/>
      <c r="D1822" s="338"/>
      <c r="E1822" s="338"/>
      <c r="F1822" s="338"/>
      <c r="G1822" s="345" t="s">
        <v>88</v>
      </c>
      <c r="H1822" s="338">
        <f t="shared" si="192"/>
        <v>548</v>
      </c>
      <c r="I1822" s="338">
        <v>4</v>
      </c>
      <c r="J1822" s="338"/>
      <c r="K1822" s="338"/>
      <c r="L1822" s="340" t="str">
        <f t="shared" si="190"/>
        <v/>
      </c>
      <c r="M1822" s="342"/>
    </row>
    <row r="1823" ht="15.6" spans="1:13">
      <c r="A1823" s="338"/>
      <c r="B1823" s="338"/>
      <c r="C1823" s="338"/>
      <c r="D1823" s="338"/>
      <c r="E1823" s="338"/>
      <c r="F1823" s="338"/>
      <c r="G1823" s="343" t="s">
        <v>1101</v>
      </c>
      <c r="H1823" s="338">
        <f t="shared" si="192"/>
        <v>552</v>
      </c>
      <c r="I1823" s="338">
        <v>16</v>
      </c>
      <c r="J1823" s="338"/>
      <c r="K1823" s="338"/>
      <c r="L1823" s="344" t="str">
        <f t="shared" si="190"/>
        <v>扩展帧CAN消息</v>
      </c>
      <c r="M1823" s="342"/>
    </row>
    <row r="1824" ht="15.6" spans="1:13">
      <c r="A1824" s="338"/>
      <c r="B1824" s="338"/>
      <c r="C1824" s="338"/>
      <c r="D1824" s="338"/>
      <c r="E1824" s="338"/>
      <c r="F1824" s="338"/>
      <c r="G1824" s="343" t="s">
        <v>1102</v>
      </c>
      <c r="H1824" s="338">
        <f t="shared" si="192"/>
        <v>568</v>
      </c>
      <c r="I1824" s="338">
        <v>16</v>
      </c>
      <c r="J1824" s="338"/>
      <c r="K1824" s="338"/>
      <c r="L1824" s="344" t="str">
        <f t="shared" si="190"/>
        <v>扩展帧CAN消息</v>
      </c>
      <c r="M1824" s="342"/>
    </row>
    <row r="1825" ht="15.6" spans="1:13">
      <c r="A1825" s="338"/>
      <c r="B1825" s="338"/>
      <c r="C1825" s="338"/>
      <c r="D1825" s="338"/>
      <c r="E1825" s="338"/>
      <c r="F1825" s="338"/>
      <c r="G1825" s="343" t="s">
        <v>1103</v>
      </c>
      <c r="H1825" s="338">
        <f t="shared" si="192"/>
        <v>584</v>
      </c>
      <c r="I1825" s="338">
        <v>16</v>
      </c>
      <c r="J1825" s="338"/>
      <c r="K1825" s="338"/>
      <c r="L1825" s="344" t="str">
        <f t="shared" si="190"/>
        <v>扩展帧CAN消息</v>
      </c>
      <c r="M1825" s="342"/>
    </row>
    <row r="1826" ht="15.6" spans="1:13">
      <c r="A1826" s="338"/>
      <c r="B1826" s="338"/>
      <c r="C1826" s="338"/>
      <c r="D1826" s="338"/>
      <c r="E1826" s="338"/>
      <c r="F1826" s="338"/>
      <c r="G1826" s="343" t="s">
        <v>1104</v>
      </c>
      <c r="H1826" s="338">
        <f t="shared" si="192"/>
        <v>600</v>
      </c>
      <c r="I1826" s="338">
        <v>16</v>
      </c>
      <c r="J1826" s="338"/>
      <c r="K1826" s="338"/>
      <c r="L1826" s="344" t="str">
        <f t="shared" si="190"/>
        <v>扩展帧CAN消息</v>
      </c>
      <c r="M1826" s="342"/>
    </row>
    <row r="1827" ht="15.6" spans="1:13">
      <c r="A1827" s="338"/>
      <c r="B1827" s="338"/>
      <c r="C1827" s="338"/>
      <c r="D1827" s="338"/>
      <c r="E1827" s="338"/>
      <c r="F1827" s="338"/>
      <c r="G1827" s="345" t="s">
        <v>88</v>
      </c>
      <c r="H1827" s="338">
        <f t="shared" si="192"/>
        <v>616</v>
      </c>
      <c r="I1827" s="338">
        <v>4</v>
      </c>
      <c r="J1827" s="338"/>
      <c r="K1827" s="338"/>
      <c r="L1827" s="340" t="str">
        <f t="shared" si="190"/>
        <v/>
      </c>
      <c r="M1827" s="342"/>
    </row>
    <row r="1828" ht="15.6" spans="1:13">
      <c r="A1828" s="338"/>
      <c r="B1828" s="338"/>
      <c r="C1828" s="338"/>
      <c r="D1828" s="338"/>
      <c r="E1828" s="338"/>
      <c r="F1828" s="338"/>
      <c r="G1828" s="343" t="s">
        <v>1105</v>
      </c>
      <c r="H1828" s="338">
        <f t="shared" si="192"/>
        <v>620</v>
      </c>
      <c r="I1828" s="338">
        <v>16</v>
      </c>
      <c r="J1828" s="338"/>
      <c r="K1828" s="338"/>
      <c r="L1828" s="344" t="str">
        <f t="shared" si="190"/>
        <v>扩展帧CAN消息</v>
      </c>
      <c r="M1828" s="342"/>
    </row>
    <row r="1829" ht="15.6" spans="1:13">
      <c r="A1829" s="338"/>
      <c r="B1829" s="338"/>
      <c r="C1829" s="338"/>
      <c r="D1829" s="338"/>
      <c r="E1829" s="338"/>
      <c r="F1829" s="338"/>
      <c r="G1829" s="343" t="s">
        <v>1106</v>
      </c>
      <c r="H1829" s="338">
        <f t="shared" si="192"/>
        <v>636</v>
      </c>
      <c r="I1829" s="338">
        <v>16</v>
      </c>
      <c r="J1829" s="338"/>
      <c r="K1829" s="338"/>
      <c r="L1829" s="344" t="str">
        <f t="shared" si="190"/>
        <v>扩展帧CAN消息</v>
      </c>
      <c r="M1829" s="342"/>
    </row>
    <row r="1830" ht="15.6" spans="1:13">
      <c r="A1830" s="338"/>
      <c r="B1830" s="338"/>
      <c r="C1830" s="338"/>
      <c r="D1830" s="338"/>
      <c r="E1830" s="338"/>
      <c r="F1830" s="338"/>
      <c r="G1830" s="343" t="s">
        <v>1107</v>
      </c>
      <c r="H1830" s="338">
        <f t="shared" si="192"/>
        <v>652</v>
      </c>
      <c r="I1830" s="338">
        <v>16</v>
      </c>
      <c r="J1830" s="338"/>
      <c r="K1830" s="338"/>
      <c r="L1830" s="344" t="str">
        <f t="shared" si="190"/>
        <v>扩展帧CAN消息</v>
      </c>
      <c r="M1830" s="342"/>
    </row>
    <row r="1831" ht="15.6" spans="1:13">
      <c r="A1831" s="338"/>
      <c r="B1831" s="338"/>
      <c r="C1831" s="338"/>
      <c r="D1831" s="338"/>
      <c r="E1831" s="338"/>
      <c r="F1831" s="338"/>
      <c r="G1831" s="343" t="s">
        <v>1108</v>
      </c>
      <c r="H1831" s="338">
        <f t="shared" si="192"/>
        <v>668</v>
      </c>
      <c r="I1831" s="338">
        <v>16</v>
      </c>
      <c r="J1831" s="338"/>
      <c r="K1831" s="338"/>
      <c r="L1831" s="344" t="str">
        <f t="shared" si="190"/>
        <v>扩展帧CAN消息</v>
      </c>
      <c r="M1831" s="342"/>
    </row>
    <row r="1832" ht="15.6" spans="1:13">
      <c r="A1832" s="338"/>
      <c r="B1832" s="338"/>
      <c r="C1832" s="338"/>
      <c r="D1832" s="338"/>
      <c r="E1832" s="338"/>
      <c r="F1832" s="338"/>
      <c r="G1832" s="345" t="s">
        <v>88</v>
      </c>
      <c r="H1832" s="338">
        <f t="shared" si="192"/>
        <v>684</v>
      </c>
      <c r="I1832" s="338">
        <v>4</v>
      </c>
      <c r="J1832" s="338"/>
      <c r="K1832" s="338"/>
      <c r="L1832" s="340" t="str">
        <f t="shared" si="190"/>
        <v/>
      </c>
      <c r="M1832" s="342"/>
    </row>
    <row r="1833" ht="15.6" spans="1:13">
      <c r="A1833" s="338"/>
      <c r="B1833" s="338"/>
      <c r="C1833" s="338"/>
      <c r="D1833" s="338"/>
      <c r="E1833" s="338"/>
      <c r="F1833" s="338"/>
      <c r="G1833" s="343" t="s">
        <v>1109</v>
      </c>
      <c r="H1833" s="338">
        <f t="shared" si="192"/>
        <v>688</v>
      </c>
      <c r="I1833" s="338">
        <v>16</v>
      </c>
      <c r="J1833" s="338"/>
      <c r="K1833" s="338"/>
      <c r="L1833" s="344" t="str">
        <f t="shared" si="190"/>
        <v>扩展帧CAN消息</v>
      </c>
      <c r="M1833" s="342"/>
    </row>
    <row r="1834" ht="15.6" spans="1:13">
      <c r="A1834" s="338"/>
      <c r="B1834" s="338"/>
      <c r="C1834" s="338"/>
      <c r="D1834" s="338"/>
      <c r="E1834" s="338"/>
      <c r="F1834" s="338"/>
      <c r="G1834" s="343" t="s">
        <v>1110</v>
      </c>
      <c r="H1834" s="338">
        <f t="shared" si="192"/>
        <v>704</v>
      </c>
      <c r="I1834" s="338">
        <v>16</v>
      </c>
      <c r="J1834" s="338"/>
      <c r="K1834" s="338"/>
      <c r="L1834" s="344" t="str">
        <f t="shared" si="190"/>
        <v>扩展帧CAN消息</v>
      </c>
      <c r="M1834" s="342"/>
    </row>
    <row r="1835" ht="15.6" spans="1:13">
      <c r="A1835" s="338"/>
      <c r="B1835" s="338"/>
      <c r="C1835" s="338"/>
      <c r="D1835" s="338"/>
      <c r="E1835" s="338"/>
      <c r="F1835" s="338"/>
      <c r="G1835" s="343" t="s">
        <v>1111</v>
      </c>
      <c r="H1835" s="338">
        <f t="shared" si="192"/>
        <v>720</v>
      </c>
      <c r="I1835" s="338">
        <v>16</v>
      </c>
      <c r="J1835" s="338"/>
      <c r="K1835" s="338"/>
      <c r="L1835" s="344" t="str">
        <f t="shared" si="190"/>
        <v>扩展帧CAN消息</v>
      </c>
      <c r="M1835" s="342"/>
    </row>
    <row r="1836" ht="15.6" spans="1:13">
      <c r="A1836" s="338"/>
      <c r="B1836" s="338"/>
      <c r="C1836" s="338"/>
      <c r="D1836" s="338"/>
      <c r="E1836" s="338"/>
      <c r="F1836" s="338"/>
      <c r="G1836" s="343" t="s">
        <v>1112</v>
      </c>
      <c r="H1836" s="338">
        <f t="shared" si="192"/>
        <v>736</v>
      </c>
      <c r="I1836" s="338">
        <v>16</v>
      </c>
      <c r="J1836" s="338"/>
      <c r="K1836" s="338"/>
      <c r="L1836" s="344" t="str">
        <f t="shared" si="190"/>
        <v>扩展帧CAN消息</v>
      </c>
      <c r="M1836" s="342"/>
    </row>
    <row r="1837" ht="15.6" spans="1:13">
      <c r="A1837" s="338"/>
      <c r="B1837" s="338"/>
      <c r="C1837" s="338"/>
      <c r="D1837" s="338"/>
      <c r="E1837" s="338"/>
      <c r="F1837" s="338"/>
      <c r="G1837" s="345" t="s">
        <v>88</v>
      </c>
      <c r="H1837" s="338">
        <f t="shared" si="192"/>
        <v>752</v>
      </c>
      <c r="I1837" s="338">
        <v>4</v>
      </c>
      <c r="J1837" s="338"/>
      <c r="K1837" s="338"/>
      <c r="L1837" s="340" t="str">
        <f t="shared" si="190"/>
        <v/>
      </c>
      <c r="M1837" s="342"/>
    </row>
    <row r="1838" ht="15.6" spans="1:13">
      <c r="A1838" s="338"/>
      <c r="B1838" s="338"/>
      <c r="C1838" s="338"/>
      <c r="D1838" s="338"/>
      <c r="E1838" s="338"/>
      <c r="F1838" s="338"/>
      <c r="G1838" s="343" t="s">
        <v>1113</v>
      </c>
      <c r="H1838" s="338">
        <f t="shared" si="192"/>
        <v>756</v>
      </c>
      <c r="I1838" s="338">
        <v>16</v>
      </c>
      <c r="J1838" s="338"/>
      <c r="K1838" s="338"/>
      <c r="L1838" s="344" t="str">
        <f t="shared" si="190"/>
        <v>扩展帧CAN消息</v>
      </c>
      <c r="M1838" s="342"/>
    </row>
    <row r="1839" ht="15.6" spans="1:13">
      <c r="A1839" s="338"/>
      <c r="B1839" s="338"/>
      <c r="C1839" s="338"/>
      <c r="D1839" s="338"/>
      <c r="E1839" s="338"/>
      <c r="F1839" s="338"/>
      <c r="G1839" s="343" t="s">
        <v>1114</v>
      </c>
      <c r="H1839" s="338">
        <f t="shared" si="192"/>
        <v>772</v>
      </c>
      <c r="I1839" s="338">
        <v>16</v>
      </c>
      <c r="J1839" s="338"/>
      <c r="K1839" s="338"/>
      <c r="L1839" s="344" t="str">
        <f t="shared" si="190"/>
        <v>扩展帧CAN消息</v>
      </c>
      <c r="M1839" s="342"/>
    </row>
    <row r="1840" ht="15.6" spans="1:13">
      <c r="A1840" s="338"/>
      <c r="B1840" s="338"/>
      <c r="C1840" s="338"/>
      <c r="D1840" s="338"/>
      <c r="E1840" s="338"/>
      <c r="F1840" s="338"/>
      <c r="G1840" s="343" t="s">
        <v>1115</v>
      </c>
      <c r="H1840" s="338">
        <f t="shared" si="192"/>
        <v>788</v>
      </c>
      <c r="I1840" s="338">
        <v>16</v>
      </c>
      <c r="J1840" s="338"/>
      <c r="K1840" s="338"/>
      <c r="L1840" s="344" t="str">
        <f t="shared" si="190"/>
        <v>扩展帧CAN消息</v>
      </c>
      <c r="M1840" s="342"/>
    </row>
    <row r="1841" ht="15.6" spans="1:13">
      <c r="A1841" s="338"/>
      <c r="B1841" s="338"/>
      <c r="C1841" s="338"/>
      <c r="D1841" s="338"/>
      <c r="E1841" s="338"/>
      <c r="F1841" s="338"/>
      <c r="G1841" s="343" t="s">
        <v>1116</v>
      </c>
      <c r="H1841" s="338">
        <f t="shared" si="192"/>
        <v>804</v>
      </c>
      <c r="I1841" s="338">
        <v>16</v>
      </c>
      <c r="J1841" s="338"/>
      <c r="K1841" s="338"/>
      <c r="L1841" s="344" t="str">
        <f t="shared" si="190"/>
        <v>扩展帧CAN消息</v>
      </c>
      <c r="M1841" s="342"/>
    </row>
    <row r="1842" ht="15.6" spans="1:13">
      <c r="A1842" s="338"/>
      <c r="B1842" s="338"/>
      <c r="C1842" s="338"/>
      <c r="D1842" s="338"/>
      <c r="E1842" s="338"/>
      <c r="F1842" s="338"/>
      <c r="G1842" s="345" t="s">
        <v>88</v>
      </c>
      <c r="H1842" s="338">
        <f t="shared" si="192"/>
        <v>820</v>
      </c>
      <c r="I1842" s="338">
        <v>4</v>
      </c>
      <c r="J1842" s="338"/>
      <c r="K1842" s="338"/>
      <c r="L1842" s="340" t="str">
        <f t="shared" si="190"/>
        <v/>
      </c>
      <c r="M1842" s="342"/>
    </row>
    <row r="1843" ht="15.6" spans="1:13">
      <c r="A1843" s="338"/>
      <c r="B1843" s="338"/>
      <c r="C1843" s="338"/>
      <c r="D1843" s="338"/>
      <c r="E1843" s="338"/>
      <c r="F1843" s="338"/>
      <c r="G1843" s="343" t="s">
        <v>1117</v>
      </c>
      <c r="H1843" s="338">
        <f t="shared" si="192"/>
        <v>824</v>
      </c>
      <c r="I1843" s="338">
        <v>16</v>
      </c>
      <c r="J1843" s="338"/>
      <c r="K1843" s="338"/>
      <c r="L1843" s="344" t="str">
        <f t="shared" si="190"/>
        <v>扩展帧CAN消息</v>
      </c>
      <c r="M1843" s="342"/>
    </row>
    <row r="1844" ht="15.6" spans="1:13">
      <c r="A1844" s="338"/>
      <c r="B1844" s="338"/>
      <c r="C1844" s="338"/>
      <c r="D1844" s="338"/>
      <c r="E1844" s="338"/>
      <c r="F1844" s="338"/>
      <c r="G1844" s="343" t="s">
        <v>1118</v>
      </c>
      <c r="H1844" s="338">
        <f t="shared" si="192"/>
        <v>840</v>
      </c>
      <c r="I1844" s="338">
        <v>16</v>
      </c>
      <c r="J1844" s="338"/>
      <c r="K1844" s="338"/>
      <c r="L1844" s="344" t="str">
        <f t="shared" si="190"/>
        <v>扩展帧CAN消息</v>
      </c>
      <c r="M1844" s="342"/>
    </row>
    <row r="1845" ht="15.6" spans="1:13">
      <c r="A1845" s="338"/>
      <c r="B1845" s="338"/>
      <c r="C1845" s="338"/>
      <c r="D1845" s="338"/>
      <c r="E1845" s="338"/>
      <c r="F1845" s="338"/>
      <c r="G1845" s="343" t="s">
        <v>1119</v>
      </c>
      <c r="H1845" s="338">
        <f t="shared" si="192"/>
        <v>856</v>
      </c>
      <c r="I1845" s="338">
        <v>16</v>
      </c>
      <c r="J1845" s="338"/>
      <c r="K1845" s="338"/>
      <c r="L1845" s="344" t="str">
        <f t="shared" ref="L1845:L1861" si="193">IF(RIGHT(G1845,5)="FRAME","扩展帧CAN消息","")</f>
        <v>扩展帧CAN消息</v>
      </c>
      <c r="M1845" s="342"/>
    </row>
    <row r="1846" ht="15.6" spans="1:13">
      <c r="A1846" s="338"/>
      <c r="B1846" s="338"/>
      <c r="C1846" s="338"/>
      <c r="D1846" s="338"/>
      <c r="E1846" s="338"/>
      <c r="F1846" s="338"/>
      <c r="G1846" s="343" t="s">
        <v>1120</v>
      </c>
      <c r="H1846" s="338">
        <f t="shared" si="192"/>
        <v>872</v>
      </c>
      <c r="I1846" s="338">
        <v>16</v>
      </c>
      <c r="J1846" s="338"/>
      <c r="K1846" s="338"/>
      <c r="L1846" s="344" t="str">
        <f t="shared" si="193"/>
        <v>扩展帧CAN消息</v>
      </c>
      <c r="M1846" s="342"/>
    </row>
    <row r="1847" ht="15.6" spans="1:13">
      <c r="A1847" s="338"/>
      <c r="B1847" s="338"/>
      <c r="C1847" s="338"/>
      <c r="D1847" s="338"/>
      <c r="E1847" s="338"/>
      <c r="F1847" s="338"/>
      <c r="G1847" s="345" t="s">
        <v>88</v>
      </c>
      <c r="H1847" s="338">
        <f t="shared" ref="H1847:H1865" si="194">H1846+I1846</f>
        <v>888</v>
      </c>
      <c r="I1847" s="338">
        <v>4</v>
      </c>
      <c r="J1847" s="338"/>
      <c r="K1847" s="338"/>
      <c r="L1847" s="340" t="str">
        <f t="shared" si="193"/>
        <v/>
      </c>
      <c r="M1847" s="342"/>
    </row>
    <row r="1848" ht="15.6" spans="1:13">
      <c r="A1848" s="338"/>
      <c r="B1848" s="338"/>
      <c r="C1848" s="338"/>
      <c r="D1848" s="338"/>
      <c r="E1848" s="338"/>
      <c r="F1848" s="338"/>
      <c r="G1848" s="343" t="s">
        <v>1121</v>
      </c>
      <c r="H1848" s="338">
        <f t="shared" si="194"/>
        <v>892</v>
      </c>
      <c r="I1848" s="338">
        <v>16</v>
      </c>
      <c r="J1848" s="338"/>
      <c r="K1848" s="338"/>
      <c r="L1848" s="344" t="str">
        <f t="shared" si="193"/>
        <v>扩展帧CAN消息</v>
      </c>
      <c r="M1848" s="342"/>
    </row>
    <row r="1849" ht="15.6" spans="1:13">
      <c r="A1849" s="338"/>
      <c r="B1849" s="338"/>
      <c r="C1849" s="338"/>
      <c r="D1849" s="338"/>
      <c r="E1849" s="338"/>
      <c r="F1849" s="338"/>
      <c r="G1849" s="343" t="s">
        <v>1122</v>
      </c>
      <c r="H1849" s="338">
        <f t="shared" si="194"/>
        <v>908</v>
      </c>
      <c r="I1849" s="338">
        <v>16</v>
      </c>
      <c r="J1849" s="338"/>
      <c r="K1849" s="338"/>
      <c r="L1849" s="344" t="str">
        <f t="shared" si="193"/>
        <v>扩展帧CAN消息</v>
      </c>
      <c r="M1849" s="342"/>
    </row>
    <row r="1850" ht="15.6" spans="1:13">
      <c r="A1850" s="338"/>
      <c r="B1850" s="338"/>
      <c r="C1850" s="338"/>
      <c r="D1850" s="338"/>
      <c r="E1850" s="338"/>
      <c r="F1850" s="338"/>
      <c r="G1850" s="343" t="s">
        <v>1123</v>
      </c>
      <c r="H1850" s="338">
        <f t="shared" si="194"/>
        <v>924</v>
      </c>
      <c r="I1850" s="338">
        <v>16</v>
      </c>
      <c r="J1850" s="338"/>
      <c r="K1850" s="338"/>
      <c r="L1850" s="344" t="str">
        <f t="shared" si="193"/>
        <v>扩展帧CAN消息</v>
      </c>
      <c r="M1850" s="342"/>
    </row>
    <row r="1851" ht="15.6" spans="1:13">
      <c r="A1851" s="338"/>
      <c r="B1851" s="338"/>
      <c r="C1851" s="338"/>
      <c r="D1851" s="338"/>
      <c r="E1851" s="338"/>
      <c r="F1851" s="338"/>
      <c r="G1851" s="343" t="s">
        <v>1124</v>
      </c>
      <c r="H1851" s="338">
        <f t="shared" si="194"/>
        <v>940</v>
      </c>
      <c r="I1851" s="338">
        <v>16</v>
      </c>
      <c r="J1851" s="338"/>
      <c r="K1851" s="338"/>
      <c r="L1851" s="344" t="str">
        <f t="shared" si="193"/>
        <v>扩展帧CAN消息</v>
      </c>
      <c r="M1851" s="342"/>
    </row>
    <row r="1852" ht="15.6" spans="1:13">
      <c r="A1852" s="338"/>
      <c r="B1852" s="338"/>
      <c r="C1852" s="338"/>
      <c r="D1852" s="338"/>
      <c r="E1852" s="338"/>
      <c r="F1852" s="338"/>
      <c r="G1852" s="345" t="s">
        <v>88</v>
      </c>
      <c r="H1852" s="338">
        <f t="shared" si="194"/>
        <v>956</v>
      </c>
      <c r="I1852" s="338">
        <v>4</v>
      </c>
      <c r="J1852" s="338"/>
      <c r="K1852" s="338"/>
      <c r="L1852" s="340" t="str">
        <f t="shared" si="193"/>
        <v/>
      </c>
      <c r="M1852" s="342"/>
    </row>
    <row r="1853" ht="15.6" spans="1:13">
      <c r="A1853" s="338"/>
      <c r="B1853" s="338"/>
      <c r="C1853" s="338"/>
      <c r="D1853" s="338"/>
      <c r="E1853" s="338"/>
      <c r="F1853" s="338"/>
      <c r="G1853" s="343" t="s">
        <v>1125</v>
      </c>
      <c r="H1853" s="338">
        <f t="shared" si="194"/>
        <v>960</v>
      </c>
      <c r="I1853" s="338">
        <v>16</v>
      </c>
      <c r="J1853" s="338"/>
      <c r="K1853" s="338"/>
      <c r="L1853" s="344" t="str">
        <f t="shared" si="193"/>
        <v>扩展帧CAN消息</v>
      </c>
      <c r="M1853" s="342"/>
    </row>
    <row r="1854" ht="15.6" spans="1:13">
      <c r="A1854" s="338"/>
      <c r="B1854" s="338"/>
      <c r="C1854" s="338"/>
      <c r="D1854" s="338"/>
      <c r="E1854" s="338"/>
      <c r="F1854" s="338"/>
      <c r="G1854" s="343" t="s">
        <v>1126</v>
      </c>
      <c r="H1854" s="338">
        <f t="shared" si="194"/>
        <v>976</v>
      </c>
      <c r="I1854" s="338">
        <v>16</v>
      </c>
      <c r="J1854" s="338"/>
      <c r="K1854" s="338"/>
      <c r="L1854" s="344" t="str">
        <f t="shared" si="193"/>
        <v>扩展帧CAN消息</v>
      </c>
      <c r="M1854" s="342"/>
    </row>
    <row r="1855" ht="15.6" spans="1:13">
      <c r="A1855" s="338"/>
      <c r="B1855" s="338"/>
      <c r="C1855" s="338"/>
      <c r="D1855" s="338"/>
      <c r="E1855" s="338"/>
      <c r="F1855" s="338"/>
      <c r="G1855" s="343" t="s">
        <v>1127</v>
      </c>
      <c r="H1855" s="338">
        <f t="shared" si="194"/>
        <v>992</v>
      </c>
      <c r="I1855" s="338">
        <v>16</v>
      </c>
      <c r="J1855" s="338"/>
      <c r="K1855" s="338"/>
      <c r="L1855" s="344" t="str">
        <f t="shared" si="193"/>
        <v>扩展帧CAN消息</v>
      </c>
      <c r="M1855" s="342"/>
    </row>
    <row r="1856" ht="15.6" spans="1:13">
      <c r="A1856" s="338"/>
      <c r="B1856" s="338"/>
      <c r="C1856" s="338"/>
      <c r="D1856" s="338"/>
      <c r="E1856" s="338"/>
      <c r="F1856" s="338"/>
      <c r="G1856" s="343" t="s">
        <v>1128</v>
      </c>
      <c r="H1856" s="338">
        <f t="shared" si="194"/>
        <v>1008</v>
      </c>
      <c r="I1856" s="338">
        <v>16</v>
      </c>
      <c r="J1856" s="338"/>
      <c r="K1856" s="338"/>
      <c r="L1856" s="344" t="str">
        <f t="shared" si="193"/>
        <v>扩展帧CAN消息</v>
      </c>
      <c r="M1856" s="342"/>
    </row>
    <row r="1857" ht="15.6" spans="1:13">
      <c r="A1857" s="338"/>
      <c r="B1857" s="338"/>
      <c r="C1857" s="338"/>
      <c r="D1857" s="338"/>
      <c r="E1857" s="338"/>
      <c r="F1857" s="338"/>
      <c r="G1857" s="345" t="s">
        <v>88</v>
      </c>
      <c r="H1857" s="338">
        <f t="shared" si="194"/>
        <v>1024</v>
      </c>
      <c r="I1857" s="338">
        <v>4</v>
      </c>
      <c r="J1857" s="338"/>
      <c r="K1857" s="338"/>
      <c r="L1857" s="340" t="str">
        <f t="shared" si="193"/>
        <v/>
      </c>
      <c r="M1857" s="342"/>
    </row>
    <row r="1858" ht="15.6" spans="1:13">
      <c r="A1858" s="338"/>
      <c r="B1858" s="338"/>
      <c r="C1858" s="338"/>
      <c r="D1858" s="338"/>
      <c r="E1858" s="338"/>
      <c r="F1858" s="338"/>
      <c r="G1858" s="343" t="s">
        <v>1129</v>
      </c>
      <c r="H1858" s="338">
        <f t="shared" si="194"/>
        <v>1028</v>
      </c>
      <c r="I1858" s="338">
        <v>16</v>
      </c>
      <c r="J1858" s="338"/>
      <c r="K1858" s="338"/>
      <c r="L1858" s="344" t="str">
        <f t="shared" si="193"/>
        <v>扩展帧CAN消息</v>
      </c>
      <c r="M1858" s="342"/>
    </row>
    <row r="1859" ht="15.6" spans="1:13">
      <c r="A1859" s="338"/>
      <c r="B1859" s="338"/>
      <c r="C1859" s="338"/>
      <c r="D1859" s="338"/>
      <c r="E1859" s="338"/>
      <c r="F1859" s="338"/>
      <c r="G1859" s="343" t="s">
        <v>1130</v>
      </c>
      <c r="H1859" s="338">
        <f t="shared" si="194"/>
        <v>1044</v>
      </c>
      <c r="I1859" s="338">
        <v>16</v>
      </c>
      <c r="J1859" s="338"/>
      <c r="K1859" s="338"/>
      <c r="L1859" s="344" t="str">
        <f t="shared" si="193"/>
        <v>扩展帧CAN消息</v>
      </c>
      <c r="M1859" s="342"/>
    </row>
    <row r="1860" ht="15.6" spans="1:13">
      <c r="A1860" s="338"/>
      <c r="B1860" s="338"/>
      <c r="C1860" s="338"/>
      <c r="D1860" s="338"/>
      <c r="E1860" s="338"/>
      <c r="F1860" s="338"/>
      <c r="G1860" s="343" t="s">
        <v>1131</v>
      </c>
      <c r="H1860" s="338">
        <f t="shared" si="194"/>
        <v>1060</v>
      </c>
      <c r="I1860" s="338">
        <v>16</v>
      </c>
      <c r="J1860" s="338"/>
      <c r="K1860" s="338"/>
      <c r="L1860" s="344" t="str">
        <f t="shared" si="193"/>
        <v>扩展帧CAN消息</v>
      </c>
      <c r="M1860" s="342"/>
    </row>
    <row r="1861" ht="15.6" spans="1:13">
      <c r="A1861" s="338"/>
      <c r="B1861" s="338"/>
      <c r="C1861" s="338"/>
      <c r="D1861" s="338"/>
      <c r="E1861" s="338"/>
      <c r="F1861" s="338"/>
      <c r="G1861" s="343" t="s">
        <v>1132</v>
      </c>
      <c r="H1861" s="338">
        <f t="shared" si="194"/>
        <v>1076</v>
      </c>
      <c r="I1861" s="338">
        <v>16</v>
      </c>
      <c r="J1861" s="338"/>
      <c r="K1861" s="338"/>
      <c r="L1861" s="344" t="str">
        <f t="shared" si="193"/>
        <v>扩展帧CAN消息</v>
      </c>
      <c r="M1861" s="342"/>
    </row>
    <row r="1862" ht="15.6" spans="1:13">
      <c r="A1862" s="338"/>
      <c r="B1862" s="338"/>
      <c r="C1862" s="338"/>
      <c r="D1862" s="338"/>
      <c r="E1862" s="338"/>
      <c r="F1862" s="338"/>
      <c r="G1862" s="345" t="s">
        <v>88</v>
      </c>
      <c r="H1862" s="338">
        <f t="shared" si="194"/>
        <v>1092</v>
      </c>
      <c r="I1862" s="338">
        <v>4</v>
      </c>
      <c r="J1862" s="338"/>
      <c r="K1862" s="338"/>
      <c r="L1862" s="346"/>
      <c r="M1862" s="342"/>
    </row>
    <row r="1863" ht="15.6" spans="1:13">
      <c r="A1863" s="338"/>
      <c r="B1863" s="338"/>
      <c r="C1863" s="338"/>
      <c r="D1863" s="338"/>
      <c r="E1863" s="338"/>
      <c r="F1863" s="338"/>
      <c r="G1863" s="343" t="s">
        <v>1133</v>
      </c>
      <c r="H1863" s="338">
        <f t="shared" si="194"/>
        <v>1096</v>
      </c>
      <c r="I1863" s="338">
        <v>16</v>
      </c>
      <c r="J1863" s="338"/>
      <c r="K1863" s="338"/>
      <c r="L1863" s="344" t="str">
        <f t="shared" ref="L1863:L1927" si="195">IF(RIGHT(G1863,5)="FRAME","扩展帧CAN消息","")</f>
        <v>扩展帧CAN消息</v>
      </c>
      <c r="M1863" s="342"/>
    </row>
    <row r="1864" ht="15.6" spans="1:13">
      <c r="A1864" s="338"/>
      <c r="B1864" s="338"/>
      <c r="C1864" s="338"/>
      <c r="D1864" s="338"/>
      <c r="E1864" s="338"/>
      <c r="F1864" s="338"/>
      <c r="G1864" s="347" t="s">
        <v>1134</v>
      </c>
      <c r="H1864" s="348">
        <f t="shared" si="194"/>
        <v>1112</v>
      </c>
      <c r="I1864" s="348">
        <v>16</v>
      </c>
      <c r="J1864" s="338"/>
      <c r="K1864" s="338"/>
      <c r="L1864" s="344" t="str">
        <f t="shared" si="195"/>
        <v>扩展帧CAN消息</v>
      </c>
      <c r="M1864" s="342"/>
    </row>
    <row r="1865" ht="15.6" spans="1:13">
      <c r="A1865" s="338"/>
      <c r="B1865" s="338"/>
      <c r="C1865" s="338"/>
      <c r="D1865" s="338"/>
      <c r="E1865" s="338"/>
      <c r="F1865" s="338"/>
      <c r="G1865" s="347" t="s">
        <v>1135</v>
      </c>
      <c r="H1865" s="348">
        <f t="shared" si="194"/>
        <v>1128</v>
      </c>
      <c r="I1865" s="348">
        <v>16</v>
      </c>
      <c r="J1865" s="338"/>
      <c r="K1865" s="338"/>
      <c r="L1865" s="344" t="str">
        <f>IF(RIGHT(G1863,5)="FRAME","扩展帧CAN消息","")</f>
        <v>扩展帧CAN消息</v>
      </c>
      <c r="M1865" s="349"/>
    </row>
    <row r="1866" spans="1:13">
      <c r="A1866" s="70" t="s">
        <v>1136</v>
      </c>
      <c r="B1866" s="70" t="s">
        <v>1137</v>
      </c>
      <c r="C1866" s="70" t="s">
        <v>1068</v>
      </c>
      <c r="D1866" s="70" t="s">
        <v>133</v>
      </c>
      <c r="E1866" s="70">
        <v>7051</v>
      </c>
      <c r="F1866" s="70" t="s">
        <v>17</v>
      </c>
      <c r="G1866" s="339" t="s">
        <v>87</v>
      </c>
      <c r="H1866" s="338">
        <v>0</v>
      </c>
      <c r="I1866" s="338">
        <v>4</v>
      </c>
      <c r="J1866" s="338" t="s">
        <v>119</v>
      </c>
      <c r="K1866" s="338">
        <v>400</v>
      </c>
      <c r="L1866" s="340" t="str">
        <f t="shared" si="195"/>
        <v/>
      </c>
      <c r="M1866" s="350">
        <v>1602202</v>
      </c>
    </row>
    <row r="1867" spans="1:13">
      <c r="A1867" s="70"/>
      <c r="B1867" s="70"/>
      <c r="C1867" s="70"/>
      <c r="D1867" s="70"/>
      <c r="E1867" s="70"/>
      <c r="F1867" s="70"/>
      <c r="G1867" s="339" t="s">
        <v>88</v>
      </c>
      <c r="H1867" s="338">
        <f t="shared" ref="H1867:H1930" si="196">H1866+I1866</f>
        <v>4</v>
      </c>
      <c r="I1867" s="338">
        <v>4</v>
      </c>
      <c r="J1867" s="338"/>
      <c r="K1867" s="338"/>
      <c r="L1867" s="340" t="str">
        <f t="shared" si="195"/>
        <v/>
      </c>
      <c r="M1867" s="351"/>
    </row>
    <row r="1868" ht="15.6" spans="1:13">
      <c r="A1868" s="70"/>
      <c r="B1868" s="70"/>
      <c r="C1868" s="70"/>
      <c r="D1868" s="70"/>
      <c r="E1868" s="70"/>
      <c r="F1868" s="70"/>
      <c r="G1868" s="343" t="s">
        <v>1069</v>
      </c>
      <c r="H1868" s="338">
        <f t="shared" si="196"/>
        <v>8</v>
      </c>
      <c r="I1868" s="338">
        <v>16</v>
      </c>
      <c r="J1868" s="338"/>
      <c r="K1868" s="338"/>
      <c r="L1868" s="344" t="str">
        <f t="shared" si="195"/>
        <v>扩展帧CAN消息</v>
      </c>
      <c r="M1868" s="351"/>
    </row>
    <row r="1869" ht="15.6" spans="1:13">
      <c r="A1869" s="70"/>
      <c r="B1869" s="70"/>
      <c r="C1869" s="70"/>
      <c r="D1869" s="70"/>
      <c r="E1869" s="70"/>
      <c r="F1869" s="70"/>
      <c r="G1869" s="343" t="s">
        <v>1070</v>
      </c>
      <c r="H1869" s="338">
        <f t="shared" si="196"/>
        <v>24</v>
      </c>
      <c r="I1869" s="338">
        <v>16</v>
      </c>
      <c r="J1869" s="338"/>
      <c r="K1869" s="338"/>
      <c r="L1869" s="344" t="str">
        <f t="shared" si="195"/>
        <v>扩展帧CAN消息</v>
      </c>
      <c r="M1869" s="351"/>
    </row>
    <row r="1870" ht="15.6" spans="1:13">
      <c r="A1870" s="70"/>
      <c r="B1870" s="70"/>
      <c r="C1870" s="70"/>
      <c r="D1870" s="70"/>
      <c r="E1870" s="70"/>
      <c r="F1870" s="70"/>
      <c r="G1870" s="343" t="s">
        <v>1071</v>
      </c>
      <c r="H1870" s="338">
        <f t="shared" si="196"/>
        <v>40</v>
      </c>
      <c r="I1870" s="338">
        <v>16</v>
      </c>
      <c r="J1870" s="338"/>
      <c r="K1870" s="338"/>
      <c r="L1870" s="344" t="str">
        <f t="shared" si="195"/>
        <v>扩展帧CAN消息</v>
      </c>
      <c r="M1870" s="351"/>
    </row>
    <row r="1871" ht="15.6" spans="1:13">
      <c r="A1871" s="70"/>
      <c r="B1871" s="70"/>
      <c r="C1871" s="70"/>
      <c r="D1871" s="70"/>
      <c r="E1871" s="70"/>
      <c r="F1871" s="70"/>
      <c r="G1871" s="343" t="s">
        <v>1072</v>
      </c>
      <c r="H1871" s="338">
        <f t="shared" si="196"/>
        <v>56</v>
      </c>
      <c r="I1871" s="338">
        <v>16</v>
      </c>
      <c r="J1871" s="338"/>
      <c r="K1871" s="338"/>
      <c r="L1871" s="344" t="str">
        <f t="shared" si="195"/>
        <v>扩展帧CAN消息</v>
      </c>
      <c r="M1871" s="351"/>
    </row>
    <row r="1872" ht="15.6" spans="1:13">
      <c r="A1872" s="70"/>
      <c r="B1872" s="70"/>
      <c r="C1872" s="70"/>
      <c r="D1872" s="70"/>
      <c r="E1872" s="70"/>
      <c r="F1872" s="70"/>
      <c r="G1872" s="345" t="s">
        <v>88</v>
      </c>
      <c r="H1872" s="338">
        <f t="shared" si="196"/>
        <v>72</v>
      </c>
      <c r="I1872" s="338">
        <v>4</v>
      </c>
      <c r="J1872" s="338"/>
      <c r="K1872" s="338"/>
      <c r="L1872" s="340" t="str">
        <f t="shared" si="195"/>
        <v/>
      </c>
      <c r="M1872" s="351"/>
    </row>
    <row r="1873" ht="15.6" spans="1:13">
      <c r="A1873" s="70"/>
      <c r="B1873" s="70"/>
      <c r="C1873" s="70"/>
      <c r="D1873" s="70"/>
      <c r="E1873" s="70"/>
      <c r="F1873" s="70"/>
      <c r="G1873" s="343" t="s">
        <v>1073</v>
      </c>
      <c r="H1873" s="338">
        <f t="shared" si="196"/>
        <v>76</v>
      </c>
      <c r="I1873" s="338">
        <v>16</v>
      </c>
      <c r="J1873" s="338"/>
      <c r="K1873" s="338"/>
      <c r="L1873" s="344" t="str">
        <f t="shared" si="195"/>
        <v>扩展帧CAN消息</v>
      </c>
      <c r="M1873" s="351"/>
    </row>
    <row r="1874" ht="15.6" spans="1:13">
      <c r="A1874" s="70"/>
      <c r="B1874" s="70"/>
      <c r="C1874" s="70"/>
      <c r="D1874" s="70"/>
      <c r="E1874" s="70"/>
      <c r="F1874" s="70"/>
      <c r="G1874" s="343" t="s">
        <v>1074</v>
      </c>
      <c r="H1874" s="338">
        <f t="shared" si="196"/>
        <v>92</v>
      </c>
      <c r="I1874" s="338">
        <v>16</v>
      </c>
      <c r="J1874" s="338"/>
      <c r="K1874" s="338"/>
      <c r="L1874" s="344" t="str">
        <f t="shared" si="195"/>
        <v>扩展帧CAN消息</v>
      </c>
      <c r="M1874" s="351"/>
    </row>
    <row r="1875" ht="15.6" spans="1:13">
      <c r="A1875" s="70"/>
      <c r="B1875" s="70"/>
      <c r="C1875" s="70"/>
      <c r="D1875" s="70"/>
      <c r="E1875" s="70"/>
      <c r="F1875" s="70"/>
      <c r="G1875" s="343" t="s">
        <v>1075</v>
      </c>
      <c r="H1875" s="338">
        <f t="shared" si="196"/>
        <v>108</v>
      </c>
      <c r="I1875" s="338">
        <v>16</v>
      </c>
      <c r="J1875" s="338"/>
      <c r="K1875" s="338"/>
      <c r="L1875" s="344" t="str">
        <f t="shared" si="195"/>
        <v>扩展帧CAN消息</v>
      </c>
      <c r="M1875" s="351"/>
    </row>
    <row r="1876" ht="15.6" spans="1:13">
      <c r="A1876" s="70"/>
      <c r="B1876" s="70"/>
      <c r="C1876" s="70"/>
      <c r="D1876" s="70"/>
      <c r="E1876" s="70"/>
      <c r="F1876" s="70"/>
      <c r="G1876" s="343" t="s">
        <v>1076</v>
      </c>
      <c r="H1876" s="338">
        <f t="shared" si="196"/>
        <v>124</v>
      </c>
      <c r="I1876" s="338">
        <v>16</v>
      </c>
      <c r="J1876" s="338"/>
      <c r="K1876" s="338"/>
      <c r="L1876" s="344" t="str">
        <f t="shared" si="195"/>
        <v>扩展帧CAN消息</v>
      </c>
      <c r="M1876" s="351"/>
    </row>
    <row r="1877" ht="15.6" spans="1:13">
      <c r="A1877" s="70"/>
      <c r="B1877" s="70"/>
      <c r="C1877" s="70"/>
      <c r="D1877" s="70"/>
      <c r="E1877" s="70"/>
      <c r="F1877" s="70"/>
      <c r="G1877" s="345" t="s">
        <v>88</v>
      </c>
      <c r="H1877" s="338">
        <f t="shared" si="196"/>
        <v>140</v>
      </c>
      <c r="I1877" s="338">
        <v>4</v>
      </c>
      <c r="J1877" s="338"/>
      <c r="K1877" s="338"/>
      <c r="L1877" s="340" t="str">
        <f t="shared" si="195"/>
        <v/>
      </c>
      <c r="M1877" s="351"/>
    </row>
    <row r="1878" ht="15.6" spans="1:13">
      <c r="A1878" s="70"/>
      <c r="B1878" s="70"/>
      <c r="C1878" s="70"/>
      <c r="D1878" s="70"/>
      <c r="E1878" s="70"/>
      <c r="F1878" s="70"/>
      <c r="G1878" s="343" t="s">
        <v>1077</v>
      </c>
      <c r="H1878" s="338">
        <f t="shared" si="196"/>
        <v>144</v>
      </c>
      <c r="I1878" s="338">
        <v>16</v>
      </c>
      <c r="J1878" s="338"/>
      <c r="K1878" s="338"/>
      <c r="L1878" s="344" t="str">
        <f t="shared" si="195"/>
        <v>扩展帧CAN消息</v>
      </c>
      <c r="M1878" s="351"/>
    </row>
    <row r="1879" ht="15.6" spans="1:13">
      <c r="A1879" s="70"/>
      <c r="B1879" s="70"/>
      <c r="C1879" s="70"/>
      <c r="D1879" s="70"/>
      <c r="E1879" s="70"/>
      <c r="F1879" s="70"/>
      <c r="G1879" s="343" t="s">
        <v>1078</v>
      </c>
      <c r="H1879" s="338">
        <f t="shared" si="196"/>
        <v>160</v>
      </c>
      <c r="I1879" s="338">
        <v>16</v>
      </c>
      <c r="J1879" s="338"/>
      <c r="K1879" s="338"/>
      <c r="L1879" s="344" t="str">
        <f t="shared" si="195"/>
        <v>扩展帧CAN消息</v>
      </c>
      <c r="M1879" s="351"/>
    </row>
    <row r="1880" ht="15.6" spans="1:13">
      <c r="A1880" s="70"/>
      <c r="B1880" s="70"/>
      <c r="C1880" s="70"/>
      <c r="D1880" s="70"/>
      <c r="E1880" s="70"/>
      <c r="F1880" s="70"/>
      <c r="G1880" s="343" t="s">
        <v>1079</v>
      </c>
      <c r="H1880" s="338">
        <f t="shared" si="196"/>
        <v>176</v>
      </c>
      <c r="I1880" s="338">
        <v>16</v>
      </c>
      <c r="J1880" s="338"/>
      <c r="K1880" s="338"/>
      <c r="L1880" s="344" t="str">
        <f t="shared" si="195"/>
        <v>扩展帧CAN消息</v>
      </c>
      <c r="M1880" s="351"/>
    </row>
    <row r="1881" ht="15.6" spans="1:13">
      <c r="A1881" s="70"/>
      <c r="B1881" s="70"/>
      <c r="C1881" s="70"/>
      <c r="D1881" s="70"/>
      <c r="E1881" s="70"/>
      <c r="F1881" s="70"/>
      <c r="G1881" s="343" t="s">
        <v>1080</v>
      </c>
      <c r="H1881" s="338">
        <f t="shared" si="196"/>
        <v>192</v>
      </c>
      <c r="I1881" s="338">
        <v>16</v>
      </c>
      <c r="J1881" s="338"/>
      <c r="K1881" s="338"/>
      <c r="L1881" s="344" t="str">
        <f t="shared" si="195"/>
        <v>扩展帧CAN消息</v>
      </c>
      <c r="M1881" s="351"/>
    </row>
    <row r="1882" ht="15.6" spans="1:13">
      <c r="A1882" s="70"/>
      <c r="B1882" s="70"/>
      <c r="C1882" s="70"/>
      <c r="D1882" s="70"/>
      <c r="E1882" s="70"/>
      <c r="F1882" s="70"/>
      <c r="G1882" s="345" t="s">
        <v>88</v>
      </c>
      <c r="H1882" s="338">
        <f t="shared" si="196"/>
        <v>208</v>
      </c>
      <c r="I1882" s="338">
        <v>4</v>
      </c>
      <c r="J1882" s="338"/>
      <c r="K1882" s="338"/>
      <c r="L1882" s="340" t="str">
        <f t="shared" si="195"/>
        <v/>
      </c>
      <c r="M1882" s="351"/>
    </row>
    <row r="1883" ht="15.6" spans="1:13">
      <c r="A1883" s="70"/>
      <c r="B1883" s="70"/>
      <c r="C1883" s="70"/>
      <c r="D1883" s="70"/>
      <c r="E1883" s="70"/>
      <c r="F1883" s="70"/>
      <c r="G1883" s="343" t="s">
        <v>1081</v>
      </c>
      <c r="H1883" s="338">
        <f t="shared" si="196"/>
        <v>212</v>
      </c>
      <c r="I1883" s="338">
        <v>16</v>
      </c>
      <c r="J1883" s="338"/>
      <c r="K1883" s="338"/>
      <c r="L1883" s="344" t="str">
        <f t="shared" si="195"/>
        <v>扩展帧CAN消息</v>
      </c>
      <c r="M1883" s="351"/>
    </row>
    <row r="1884" ht="15.6" spans="1:13">
      <c r="A1884" s="70"/>
      <c r="B1884" s="70"/>
      <c r="C1884" s="70"/>
      <c r="D1884" s="70"/>
      <c r="E1884" s="70"/>
      <c r="F1884" s="70"/>
      <c r="G1884" s="343" t="s">
        <v>1082</v>
      </c>
      <c r="H1884" s="338">
        <f t="shared" si="196"/>
        <v>228</v>
      </c>
      <c r="I1884" s="338">
        <v>16</v>
      </c>
      <c r="J1884" s="338"/>
      <c r="K1884" s="338"/>
      <c r="L1884" s="344" t="str">
        <f t="shared" si="195"/>
        <v>扩展帧CAN消息</v>
      </c>
      <c r="M1884" s="351"/>
    </row>
    <row r="1885" ht="15.6" spans="1:13">
      <c r="A1885" s="70"/>
      <c r="B1885" s="70"/>
      <c r="C1885" s="70"/>
      <c r="D1885" s="70"/>
      <c r="E1885" s="70"/>
      <c r="F1885" s="70"/>
      <c r="G1885" s="343" t="s">
        <v>1083</v>
      </c>
      <c r="H1885" s="338">
        <f t="shared" si="196"/>
        <v>244</v>
      </c>
      <c r="I1885" s="338">
        <v>16</v>
      </c>
      <c r="J1885" s="338"/>
      <c r="K1885" s="338"/>
      <c r="L1885" s="344" t="str">
        <f t="shared" si="195"/>
        <v>扩展帧CAN消息</v>
      </c>
      <c r="M1885" s="351"/>
    </row>
    <row r="1886" ht="15.6" spans="1:13">
      <c r="A1886" s="70"/>
      <c r="B1886" s="70"/>
      <c r="C1886" s="70"/>
      <c r="D1886" s="70"/>
      <c r="E1886" s="70"/>
      <c r="F1886" s="70"/>
      <c r="G1886" s="343" t="s">
        <v>1084</v>
      </c>
      <c r="H1886" s="338">
        <f t="shared" si="196"/>
        <v>260</v>
      </c>
      <c r="I1886" s="338">
        <v>16</v>
      </c>
      <c r="J1886" s="338"/>
      <c r="K1886" s="338"/>
      <c r="L1886" s="344" t="str">
        <f t="shared" si="195"/>
        <v>扩展帧CAN消息</v>
      </c>
      <c r="M1886" s="351"/>
    </row>
    <row r="1887" ht="15.6" spans="1:13">
      <c r="A1887" s="70"/>
      <c r="B1887" s="70"/>
      <c r="C1887" s="70"/>
      <c r="D1887" s="70"/>
      <c r="E1887" s="70"/>
      <c r="F1887" s="70"/>
      <c r="G1887" s="345" t="s">
        <v>88</v>
      </c>
      <c r="H1887" s="338">
        <f t="shared" si="196"/>
        <v>276</v>
      </c>
      <c r="I1887" s="338">
        <v>4</v>
      </c>
      <c r="J1887" s="338"/>
      <c r="K1887" s="338"/>
      <c r="L1887" s="340" t="str">
        <f t="shared" si="195"/>
        <v/>
      </c>
      <c r="M1887" s="351"/>
    </row>
    <row r="1888" ht="15.6" spans="1:13">
      <c r="A1888" s="70"/>
      <c r="B1888" s="70"/>
      <c r="C1888" s="70"/>
      <c r="D1888" s="70"/>
      <c r="E1888" s="70"/>
      <c r="F1888" s="70"/>
      <c r="G1888" s="343" t="s">
        <v>1085</v>
      </c>
      <c r="H1888" s="338">
        <f t="shared" si="196"/>
        <v>280</v>
      </c>
      <c r="I1888" s="338">
        <v>16</v>
      </c>
      <c r="J1888" s="338"/>
      <c r="K1888" s="338"/>
      <c r="L1888" s="344" t="str">
        <f t="shared" si="195"/>
        <v>扩展帧CAN消息</v>
      </c>
      <c r="M1888" s="351"/>
    </row>
    <row r="1889" ht="15.6" spans="1:13">
      <c r="A1889" s="70"/>
      <c r="B1889" s="70"/>
      <c r="C1889" s="70"/>
      <c r="D1889" s="70"/>
      <c r="E1889" s="70"/>
      <c r="F1889" s="70"/>
      <c r="G1889" s="343" t="s">
        <v>1086</v>
      </c>
      <c r="H1889" s="338">
        <f t="shared" si="196"/>
        <v>296</v>
      </c>
      <c r="I1889" s="338">
        <v>16</v>
      </c>
      <c r="J1889" s="338"/>
      <c r="K1889" s="338"/>
      <c r="L1889" s="344" t="str">
        <f t="shared" si="195"/>
        <v>扩展帧CAN消息</v>
      </c>
      <c r="M1889" s="351"/>
    </row>
    <row r="1890" ht="15.6" spans="1:13">
      <c r="A1890" s="70"/>
      <c r="B1890" s="70"/>
      <c r="C1890" s="70"/>
      <c r="D1890" s="70"/>
      <c r="E1890" s="70"/>
      <c r="F1890" s="70"/>
      <c r="G1890" s="343" t="s">
        <v>1087</v>
      </c>
      <c r="H1890" s="338">
        <f t="shared" si="196"/>
        <v>312</v>
      </c>
      <c r="I1890" s="338">
        <v>16</v>
      </c>
      <c r="J1890" s="338"/>
      <c r="K1890" s="338"/>
      <c r="L1890" s="344" t="str">
        <f t="shared" si="195"/>
        <v>扩展帧CAN消息</v>
      </c>
      <c r="M1890" s="351"/>
    </row>
    <row r="1891" ht="15.6" spans="1:13">
      <c r="A1891" s="70"/>
      <c r="B1891" s="70"/>
      <c r="C1891" s="70"/>
      <c r="D1891" s="70"/>
      <c r="E1891" s="70"/>
      <c r="F1891" s="70"/>
      <c r="G1891" s="343" t="s">
        <v>1088</v>
      </c>
      <c r="H1891" s="338">
        <f t="shared" si="196"/>
        <v>328</v>
      </c>
      <c r="I1891" s="338">
        <v>16</v>
      </c>
      <c r="J1891" s="338"/>
      <c r="K1891" s="338"/>
      <c r="L1891" s="344" t="str">
        <f t="shared" si="195"/>
        <v>扩展帧CAN消息</v>
      </c>
      <c r="M1891" s="351"/>
    </row>
    <row r="1892" ht="15.6" spans="1:13">
      <c r="A1892" s="70"/>
      <c r="B1892" s="70"/>
      <c r="C1892" s="70"/>
      <c r="D1892" s="70"/>
      <c r="E1892" s="70"/>
      <c r="F1892" s="70"/>
      <c r="G1892" s="345" t="s">
        <v>88</v>
      </c>
      <c r="H1892" s="338">
        <f t="shared" si="196"/>
        <v>344</v>
      </c>
      <c r="I1892" s="338">
        <v>4</v>
      </c>
      <c r="J1892" s="338"/>
      <c r="K1892" s="338"/>
      <c r="L1892" s="340" t="str">
        <f t="shared" si="195"/>
        <v/>
      </c>
      <c r="M1892" s="351"/>
    </row>
    <row r="1893" ht="15.6" spans="1:13">
      <c r="A1893" s="70"/>
      <c r="B1893" s="70"/>
      <c r="C1893" s="70"/>
      <c r="D1893" s="70"/>
      <c r="E1893" s="70"/>
      <c r="F1893" s="70"/>
      <c r="G1893" s="343" t="s">
        <v>1089</v>
      </c>
      <c r="H1893" s="338">
        <f t="shared" si="196"/>
        <v>348</v>
      </c>
      <c r="I1893" s="338">
        <v>16</v>
      </c>
      <c r="J1893" s="338"/>
      <c r="K1893" s="338"/>
      <c r="L1893" s="344" t="str">
        <f t="shared" si="195"/>
        <v>扩展帧CAN消息</v>
      </c>
      <c r="M1893" s="351"/>
    </row>
    <row r="1894" ht="15.6" spans="1:13">
      <c r="A1894" s="70"/>
      <c r="B1894" s="70"/>
      <c r="C1894" s="70"/>
      <c r="D1894" s="70"/>
      <c r="E1894" s="70"/>
      <c r="F1894" s="70"/>
      <c r="G1894" s="343" t="s">
        <v>1090</v>
      </c>
      <c r="H1894" s="338">
        <f t="shared" si="196"/>
        <v>364</v>
      </c>
      <c r="I1894" s="338">
        <v>16</v>
      </c>
      <c r="J1894" s="338"/>
      <c r="K1894" s="338"/>
      <c r="L1894" s="344" t="str">
        <f t="shared" si="195"/>
        <v>扩展帧CAN消息</v>
      </c>
      <c r="M1894" s="351"/>
    </row>
    <row r="1895" ht="15.6" spans="1:13">
      <c r="A1895" s="70"/>
      <c r="B1895" s="70"/>
      <c r="C1895" s="70"/>
      <c r="D1895" s="70"/>
      <c r="E1895" s="70"/>
      <c r="F1895" s="70"/>
      <c r="G1895" s="343" t="s">
        <v>1091</v>
      </c>
      <c r="H1895" s="338">
        <f t="shared" si="196"/>
        <v>380</v>
      </c>
      <c r="I1895" s="338">
        <v>16</v>
      </c>
      <c r="J1895" s="338"/>
      <c r="K1895" s="338"/>
      <c r="L1895" s="344" t="str">
        <f t="shared" si="195"/>
        <v>扩展帧CAN消息</v>
      </c>
      <c r="M1895" s="351"/>
    </row>
    <row r="1896" ht="15.6" spans="1:13">
      <c r="A1896" s="70"/>
      <c r="B1896" s="70"/>
      <c r="C1896" s="70"/>
      <c r="D1896" s="70"/>
      <c r="E1896" s="70"/>
      <c r="F1896" s="70"/>
      <c r="G1896" s="343" t="s">
        <v>1092</v>
      </c>
      <c r="H1896" s="338">
        <f t="shared" si="196"/>
        <v>396</v>
      </c>
      <c r="I1896" s="338">
        <v>16</v>
      </c>
      <c r="J1896" s="338"/>
      <c r="K1896" s="338"/>
      <c r="L1896" s="344" t="str">
        <f t="shared" si="195"/>
        <v>扩展帧CAN消息</v>
      </c>
      <c r="M1896" s="351"/>
    </row>
    <row r="1897" ht="15.6" spans="1:13">
      <c r="A1897" s="70"/>
      <c r="B1897" s="70"/>
      <c r="C1897" s="70"/>
      <c r="D1897" s="70"/>
      <c r="E1897" s="70"/>
      <c r="F1897" s="70"/>
      <c r="G1897" s="345" t="s">
        <v>88</v>
      </c>
      <c r="H1897" s="338">
        <f t="shared" si="196"/>
        <v>412</v>
      </c>
      <c r="I1897" s="338">
        <v>4</v>
      </c>
      <c r="J1897" s="338"/>
      <c r="K1897" s="338"/>
      <c r="L1897" s="340" t="str">
        <f t="shared" si="195"/>
        <v/>
      </c>
      <c r="M1897" s="351"/>
    </row>
    <row r="1898" ht="15.6" spans="1:13">
      <c r="A1898" s="70"/>
      <c r="B1898" s="70"/>
      <c r="C1898" s="70"/>
      <c r="D1898" s="70"/>
      <c r="E1898" s="70"/>
      <c r="F1898" s="70"/>
      <c r="G1898" s="343" t="s">
        <v>1093</v>
      </c>
      <c r="H1898" s="338">
        <f t="shared" si="196"/>
        <v>416</v>
      </c>
      <c r="I1898" s="338">
        <v>16</v>
      </c>
      <c r="J1898" s="338"/>
      <c r="K1898" s="338"/>
      <c r="L1898" s="344" t="str">
        <f t="shared" si="195"/>
        <v>扩展帧CAN消息</v>
      </c>
      <c r="M1898" s="351"/>
    </row>
    <row r="1899" ht="15.6" spans="1:13">
      <c r="A1899" s="70"/>
      <c r="B1899" s="70"/>
      <c r="C1899" s="70"/>
      <c r="D1899" s="70"/>
      <c r="E1899" s="70"/>
      <c r="F1899" s="70"/>
      <c r="G1899" s="343" t="s">
        <v>1094</v>
      </c>
      <c r="H1899" s="338">
        <f t="shared" si="196"/>
        <v>432</v>
      </c>
      <c r="I1899" s="338">
        <v>16</v>
      </c>
      <c r="J1899" s="338"/>
      <c r="K1899" s="338"/>
      <c r="L1899" s="344" t="str">
        <f t="shared" si="195"/>
        <v>扩展帧CAN消息</v>
      </c>
      <c r="M1899" s="351"/>
    </row>
    <row r="1900" ht="15.6" spans="1:13">
      <c r="A1900" s="70"/>
      <c r="B1900" s="70"/>
      <c r="C1900" s="70"/>
      <c r="D1900" s="70"/>
      <c r="E1900" s="70"/>
      <c r="F1900" s="70"/>
      <c r="G1900" s="343" t="s">
        <v>1095</v>
      </c>
      <c r="H1900" s="338">
        <f t="shared" si="196"/>
        <v>448</v>
      </c>
      <c r="I1900" s="338">
        <v>16</v>
      </c>
      <c r="J1900" s="338"/>
      <c r="K1900" s="338"/>
      <c r="L1900" s="344" t="str">
        <f t="shared" si="195"/>
        <v>扩展帧CAN消息</v>
      </c>
      <c r="M1900" s="351"/>
    </row>
    <row r="1901" ht="15.6" spans="1:13">
      <c r="A1901" s="70"/>
      <c r="B1901" s="70"/>
      <c r="C1901" s="70"/>
      <c r="D1901" s="70"/>
      <c r="E1901" s="70"/>
      <c r="F1901" s="70"/>
      <c r="G1901" s="343" t="s">
        <v>1096</v>
      </c>
      <c r="H1901" s="338">
        <f t="shared" si="196"/>
        <v>464</v>
      </c>
      <c r="I1901" s="338">
        <v>16</v>
      </c>
      <c r="J1901" s="338"/>
      <c r="K1901" s="338"/>
      <c r="L1901" s="344" t="str">
        <f t="shared" si="195"/>
        <v>扩展帧CAN消息</v>
      </c>
      <c r="M1901" s="351"/>
    </row>
    <row r="1902" ht="15.6" spans="1:13">
      <c r="A1902" s="70"/>
      <c r="B1902" s="70"/>
      <c r="C1902" s="70"/>
      <c r="D1902" s="70"/>
      <c r="E1902" s="70"/>
      <c r="F1902" s="70"/>
      <c r="G1902" s="345" t="s">
        <v>88</v>
      </c>
      <c r="H1902" s="338">
        <f t="shared" si="196"/>
        <v>480</v>
      </c>
      <c r="I1902" s="338">
        <v>4</v>
      </c>
      <c r="J1902" s="338"/>
      <c r="K1902" s="338"/>
      <c r="L1902" s="340" t="str">
        <f t="shared" si="195"/>
        <v/>
      </c>
      <c r="M1902" s="351"/>
    </row>
    <row r="1903" ht="15.6" spans="1:13">
      <c r="A1903" s="70"/>
      <c r="B1903" s="70"/>
      <c r="C1903" s="70"/>
      <c r="D1903" s="70"/>
      <c r="E1903" s="70"/>
      <c r="F1903" s="70"/>
      <c r="G1903" s="343" t="s">
        <v>1097</v>
      </c>
      <c r="H1903" s="338">
        <f t="shared" si="196"/>
        <v>484</v>
      </c>
      <c r="I1903" s="338">
        <v>16</v>
      </c>
      <c r="J1903" s="338"/>
      <c r="K1903" s="338"/>
      <c r="L1903" s="344" t="str">
        <f t="shared" si="195"/>
        <v>扩展帧CAN消息</v>
      </c>
      <c r="M1903" s="351"/>
    </row>
    <row r="1904" ht="15.6" spans="1:13">
      <c r="A1904" s="70"/>
      <c r="B1904" s="70"/>
      <c r="C1904" s="70"/>
      <c r="D1904" s="70"/>
      <c r="E1904" s="70"/>
      <c r="F1904" s="70"/>
      <c r="G1904" s="343" t="s">
        <v>1098</v>
      </c>
      <c r="H1904" s="338">
        <f t="shared" si="196"/>
        <v>500</v>
      </c>
      <c r="I1904" s="338">
        <v>16</v>
      </c>
      <c r="J1904" s="338"/>
      <c r="K1904" s="338"/>
      <c r="L1904" s="344" t="str">
        <f t="shared" si="195"/>
        <v>扩展帧CAN消息</v>
      </c>
      <c r="M1904" s="351"/>
    </row>
    <row r="1905" ht="15.6" spans="1:13">
      <c r="A1905" s="70"/>
      <c r="B1905" s="70"/>
      <c r="C1905" s="70"/>
      <c r="D1905" s="70"/>
      <c r="E1905" s="70"/>
      <c r="F1905" s="70"/>
      <c r="G1905" s="343" t="s">
        <v>1099</v>
      </c>
      <c r="H1905" s="338">
        <f t="shared" si="196"/>
        <v>516</v>
      </c>
      <c r="I1905" s="338">
        <v>16</v>
      </c>
      <c r="J1905" s="338"/>
      <c r="K1905" s="338"/>
      <c r="L1905" s="344" t="str">
        <f t="shared" si="195"/>
        <v>扩展帧CAN消息</v>
      </c>
      <c r="M1905" s="351"/>
    </row>
    <row r="1906" ht="15.6" spans="1:13">
      <c r="A1906" s="70"/>
      <c r="B1906" s="70"/>
      <c r="C1906" s="70"/>
      <c r="D1906" s="70"/>
      <c r="E1906" s="70"/>
      <c r="F1906" s="70"/>
      <c r="G1906" s="343" t="s">
        <v>1100</v>
      </c>
      <c r="H1906" s="338">
        <f t="shared" si="196"/>
        <v>532</v>
      </c>
      <c r="I1906" s="338">
        <v>16</v>
      </c>
      <c r="J1906" s="338"/>
      <c r="K1906" s="338"/>
      <c r="L1906" s="344" t="str">
        <f t="shared" si="195"/>
        <v>扩展帧CAN消息</v>
      </c>
      <c r="M1906" s="351"/>
    </row>
    <row r="1907" ht="15.6" spans="1:13">
      <c r="A1907" s="70"/>
      <c r="B1907" s="70"/>
      <c r="C1907" s="70"/>
      <c r="D1907" s="70"/>
      <c r="E1907" s="70"/>
      <c r="F1907" s="70"/>
      <c r="G1907" s="345" t="s">
        <v>88</v>
      </c>
      <c r="H1907" s="338">
        <f t="shared" si="196"/>
        <v>548</v>
      </c>
      <c r="I1907" s="338">
        <v>4</v>
      </c>
      <c r="J1907" s="338"/>
      <c r="K1907" s="338"/>
      <c r="L1907" s="340" t="str">
        <f t="shared" si="195"/>
        <v/>
      </c>
      <c r="M1907" s="351"/>
    </row>
    <row r="1908" ht="15.6" spans="1:13">
      <c r="A1908" s="70"/>
      <c r="B1908" s="70"/>
      <c r="C1908" s="70"/>
      <c r="D1908" s="70"/>
      <c r="E1908" s="70"/>
      <c r="F1908" s="70"/>
      <c r="G1908" s="343" t="s">
        <v>1101</v>
      </c>
      <c r="H1908" s="338">
        <f t="shared" si="196"/>
        <v>552</v>
      </c>
      <c r="I1908" s="338">
        <v>16</v>
      </c>
      <c r="J1908" s="338"/>
      <c r="K1908" s="338"/>
      <c r="L1908" s="344" t="str">
        <f t="shared" si="195"/>
        <v>扩展帧CAN消息</v>
      </c>
      <c r="M1908" s="351"/>
    </row>
    <row r="1909" ht="15.6" spans="1:13">
      <c r="A1909" s="70"/>
      <c r="B1909" s="70"/>
      <c r="C1909" s="70"/>
      <c r="D1909" s="70"/>
      <c r="E1909" s="70"/>
      <c r="F1909" s="70"/>
      <c r="G1909" s="343" t="s">
        <v>1102</v>
      </c>
      <c r="H1909" s="338">
        <f t="shared" si="196"/>
        <v>568</v>
      </c>
      <c r="I1909" s="338">
        <v>16</v>
      </c>
      <c r="J1909" s="338"/>
      <c r="K1909" s="338"/>
      <c r="L1909" s="344" t="str">
        <f t="shared" si="195"/>
        <v>扩展帧CAN消息</v>
      </c>
      <c r="M1909" s="351"/>
    </row>
    <row r="1910" ht="15.6" spans="1:13">
      <c r="A1910" s="70"/>
      <c r="B1910" s="70"/>
      <c r="C1910" s="70"/>
      <c r="D1910" s="70"/>
      <c r="E1910" s="70"/>
      <c r="F1910" s="70"/>
      <c r="G1910" s="343" t="s">
        <v>1103</v>
      </c>
      <c r="H1910" s="338">
        <f t="shared" si="196"/>
        <v>584</v>
      </c>
      <c r="I1910" s="338">
        <v>16</v>
      </c>
      <c r="J1910" s="338"/>
      <c r="K1910" s="338"/>
      <c r="L1910" s="344" t="str">
        <f t="shared" si="195"/>
        <v>扩展帧CAN消息</v>
      </c>
      <c r="M1910" s="351"/>
    </row>
    <row r="1911" ht="15.6" spans="1:13">
      <c r="A1911" s="70"/>
      <c r="B1911" s="70"/>
      <c r="C1911" s="70"/>
      <c r="D1911" s="70"/>
      <c r="E1911" s="70"/>
      <c r="F1911" s="70"/>
      <c r="G1911" s="343" t="s">
        <v>1104</v>
      </c>
      <c r="H1911" s="338">
        <f t="shared" si="196"/>
        <v>600</v>
      </c>
      <c r="I1911" s="338">
        <v>16</v>
      </c>
      <c r="J1911" s="338"/>
      <c r="K1911" s="338"/>
      <c r="L1911" s="344" t="str">
        <f t="shared" si="195"/>
        <v>扩展帧CAN消息</v>
      </c>
      <c r="M1911" s="351"/>
    </row>
    <row r="1912" ht="15.6" spans="1:13">
      <c r="A1912" s="70"/>
      <c r="B1912" s="70"/>
      <c r="C1912" s="70"/>
      <c r="D1912" s="70"/>
      <c r="E1912" s="70"/>
      <c r="F1912" s="70"/>
      <c r="G1912" s="345" t="s">
        <v>88</v>
      </c>
      <c r="H1912" s="338">
        <f t="shared" si="196"/>
        <v>616</v>
      </c>
      <c r="I1912" s="338">
        <v>4</v>
      </c>
      <c r="J1912" s="338"/>
      <c r="K1912" s="338"/>
      <c r="L1912" s="340" t="str">
        <f t="shared" si="195"/>
        <v/>
      </c>
      <c r="M1912" s="351"/>
    </row>
    <row r="1913" ht="15.6" spans="1:13">
      <c r="A1913" s="70"/>
      <c r="B1913" s="70"/>
      <c r="C1913" s="70"/>
      <c r="D1913" s="70"/>
      <c r="E1913" s="70"/>
      <c r="F1913" s="70"/>
      <c r="G1913" s="343" t="s">
        <v>1105</v>
      </c>
      <c r="H1913" s="338">
        <f t="shared" si="196"/>
        <v>620</v>
      </c>
      <c r="I1913" s="338">
        <v>16</v>
      </c>
      <c r="J1913" s="338"/>
      <c r="K1913" s="338"/>
      <c r="L1913" s="344" t="str">
        <f t="shared" si="195"/>
        <v>扩展帧CAN消息</v>
      </c>
      <c r="M1913" s="351"/>
    </row>
    <row r="1914" ht="15.6" spans="1:13">
      <c r="A1914" s="70"/>
      <c r="B1914" s="70"/>
      <c r="C1914" s="70"/>
      <c r="D1914" s="70"/>
      <c r="E1914" s="70"/>
      <c r="F1914" s="70"/>
      <c r="G1914" s="343" t="s">
        <v>1106</v>
      </c>
      <c r="H1914" s="338">
        <f t="shared" si="196"/>
        <v>636</v>
      </c>
      <c r="I1914" s="338">
        <v>16</v>
      </c>
      <c r="J1914" s="338"/>
      <c r="K1914" s="338"/>
      <c r="L1914" s="344" t="str">
        <f t="shared" si="195"/>
        <v>扩展帧CAN消息</v>
      </c>
      <c r="M1914" s="351"/>
    </row>
    <row r="1915" ht="15.6" spans="1:13">
      <c r="A1915" s="70"/>
      <c r="B1915" s="70"/>
      <c r="C1915" s="70"/>
      <c r="D1915" s="70"/>
      <c r="E1915" s="70"/>
      <c r="F1915" s="70"/>
      <c r="G1915" s="343" t="s">
        <v>1107</v>
      </c>
      <c r="H1915" s="338">
        <f t="shared" si="196"/>
        <v>652</v>
      </c>
      <c r="I1915" s="338">
        <v>16</v>
      </c>
      <c r="J1915" s="338"/>
      <c r="K1915" s="338"/>
      <c r="L1915" s="344" t="str">
        <f t="shared" si="195"/>
        <v>扩展帧CAN消息</v>
      </c>
      <c r="M1915" s="351"/>
    </row>
    <row r="1916" ht="15.6" spans="1:13">
      <c r="A1916" s="70"/>
      <c r="B1916" s="70"/>
      <c r="C1916" s="70"/>
      <c r="D1916" s="70"/>
      <c r="E1916" s="70"/>
      <c r="F1916" s="70"/>
      <c r="G1916" s="343" t="s">
        <v>1108</v>
      </c>
      <c r="H1916" s="338">
        <f t="shared" si="196"/>
        <v>668</v>
      </c>
      <c r="I1916" s="338">
        <v>16</v>
      </c>
      <c r="J1916" s="338"/>
      <c r="K1916" s="338"/>
      <c r="L1916" s="344" t="str">
        <f t="shared" si="195"/>
        <v>扩展帧CAN消息</v>
      </c>
      <c r="M1916" s="351"/>
    </row>
    <row r="1917" ht="15.6" spans="1:13">
      <c r="A1917" s="70"/>
      <c r="B1917" s="70"/>
      <c r="C1917" s="70"/>
      <c r="D1917" s="70"/>
      <c r="E1917" s="70"/>
      <c r="F1917" s="70"/>
      <c r="G1917" s="345" t="s">
        <v>88</v>
      </c>
      <c r="H1917" s="338">
        <f t="shared" si="196"/>
        <v>684</v>
      </c>
      <c r="I1917" s="338">
        <v>4</v>
      </c>
      <c r="J1917" s="338"/>
      <c r="K1917" s="338"/>
      <c r="L1917" s="340" t="str">
        <f t="shared" si="195"/>
        <v/>
      </c>
      <c r="M1917" s="351"/>
    </row>
    <row r="1918" ht="15.6" spans="1:13">
      <c r="A1918" s="70"/>
      <c r="B1918" s="70"/>
      <c r="C1918" s="70"/>
      <c r="D1918" s="70"/>
      <c r="E1918" s="70"/>
      <c r="F1918" s="70"/>
      <c r="G1918" s="343" t="s">
        <v>1109</v>
      </c>
      <c r="H1918" s="338">
        <f t="shared" si="196"/>
        <v>688</v>
      </c>
      <c r="I1918" s="338">
        <v>16</v>
      </c>
      <c r="J1918" s="338"/>
      <c r="K1918" s="338"/>
      <c r="L1918" s="344" t="str">
        <f t="shared" si="195"/>
        <v>扩展帧CAN消息</v>
      </c>
      <c r="M1918" s="351"/>
    </row>
    <row r="1919" ht="15.6" spans="1:13">
      <c r="A1919" s="70"/>
      <c r="B1919" s="70"/>
      <c r="C1919" s="70"/>
      <c r="D1919" s="70"/>
      <c r="E1919" s="70"/>
      <c r="F1919" s="70"/>
      <c r="G1919" s="343" t="s">
        <v>1110</v>
      </c>
      <c r="H1919" s="338">
        <f t="shared" si="196"/>
        <v>704</v>
      </c>
      <c r="I1919" s="338">
        <v>16</v>
      </c>
      <c r="J1919" s="338"/>
      <c r="K1919" s="338"/>
      <c r="L1919" s="344" t="str">
        <f t="shared" si="195"/>
        <v>扩展帧CAN消息</v>
      </c>
      <c r="M1919" s="351"/>
    </row>
    <row r="1920" ht="15.6" spans="1:13">
      <c r="A1920" s="70"/>
      <c r="B1920" s="70"/>
      <c r="C1920" s="70"/>
      <c r="D1920" s="70"/>
      <c r="E1920" s="70"/>
      <c r="F1920" s="70"/>
      <c r="G1920" s="343" t="s">
        <v>1111</v>
      </c>
      <c r="H1920" s="338">
        <f t="shared" si="196"/>
        <v>720</v>
      </c>
      <c r="I1920" s="338">
        <v>16</v>
      </c>
      <c r="J1920" s="338"/>
      <c r="K1920" s="338"/>
      <c r="L1920" s="344" t="str">
        <f t="shared" si="195"/>
        <v>扩展帧CAN消息</v>
      </c>
      <c r="M1920" s="351"/>
    </row>
    <row r="1921" ht="15.6" spans="1:13">
      <c r="A1921" s="70"/>
      <c r="B1921" s="70"/>
      <c r="C1921" s="70"/>
      <c r="D1921" s="70"/>
      <c r="E1921" s="70"/>
      <c r="F1921" s="70"/>
      <c r="G1921" s="343" t="s">
        <v>1112</v>
      </c>
      <c r="H1921" s="338">
        <f t="shared" si="196"/>
        <v>736</v>
      </c>
      <c r="I1921" s="338">
        <v>16</v>
      </c>
      <c r="J1921" s="338"/>
      <c r="K1921" s="338"/>
      <c r="L1921" s="344" t="str">
        <f t="shared" si="195"/>
        <v>扩展帧CAN消息</v>
      </c>
      <c r="M1921" s="351"/>
    </row>
    <row r="1922" ht="15.6" spans="1:13">
      <c r="A1922" s="70"/>
      <c r="B1922" s="70"/>
      <c r="C1922" s="70"/>
      <c r="D1922" s="70"/>
      <c r="E1922" s="70"/>
      <c r="F1922" s="70"/>
      <c r="G1922" s="345" t="s">
        <v>88</v>
      </c>
      <c r="H1922" s="338">
        <f t="shared" si="196"/>
        <v>752</v>
      </c>
      <c r="I1922" s="338">
        <v>4</v>
      </c>
      <c r="J1922" s="338"/>
      <c r="K1922" s="338"/>
      <c r="L1922" s="340" t="str">
        <f t="shared" si="195"/>
        <v/>
      </c>
      <c r="M1922" s="351"/>
    </row>
    <row r="1923" ht="15.6" spans="1:13">
      <c r="A1923" s="70"/>
      <c r="B1923" s="70"/>
      <c r="C1923" s="70"/>
      <c r="D1923" s="70"/>
      <c r="E1923" s="70"/>
      <c r="F1923" s="70"/>
      <c r="G1923" s="343" t="s">
        <v>1113</v>
      </c>
      <c r="H1923" s="338">
        <f t="shared" si="196"/>
        <v>756</v>
      </c>
      <c r="I1923" s="338">
        <v>16</v>
      </c>
      <c r="J1923" s="338"/>
      <c r="K1923" s="338"/>
      <c r="L1923" s="344" t="str">
        <f t="shared" si="195"/>
        <v>扩展帧CAN消息</v>
      </c>
      <c r="M1923" s="351"/>
    </row>
    <row r="1924" ht="15.6" spans="1:13">
      <c r="A1924" s="70"/>
      <c r="B1924" s="70"/>
      <c r="C1924" s="70"/>
      <c r="D1924" s="70"/>
      <c r="E1924" s="70"/>
      <c r="F1924" s="70"/>
      <c r="G1924" s="343" t="s">
        <v>1114</v>
      </c>
      <c r="H1924" s="338">
        <f t="shared" si="196"/>
        <v>772</v>
      </c>
      <c r="I1924" s="338">
        <v>16</v>
      </c>
      <c r="J1924" s="338"/>
      <c r="K1924" s="338"/>
      <c r="L1924" s="344" t="str">
        <f t="shared" si="195"/>
        <v>扩展帧CAN消息</v>
      </c>
      <c r="M1924" s="351"/>
    </row>
    <row r="1925" ht="15.6" spans="1:13">
      <c r="A1925" s="70"/>
      <c r="B1925" s="70"/>
      <c r="C1925" s="70"/>
      <c r="D1925" s="70"/>
      <c r="E1925" s="70"/>
      <c r="F1925" s="70"/>
      <c r="G1925" s="343" t="s">
        <v>1115</v>
      </c>
      <c r="H1925" s="338">
        <f t="shared" si="196"/>
        <v>788</v>
      </c>
      <c r="I1925" s="338">
        <v>16</v>
      </c>
      <c r="J1925" s="338"/>
      <c r="K1925" s="338"/>
      <c r="L1925" s="344" t="str">
        <f t="shared" si="195"/>
        <v>扩展帧CAN消息</v>
      </c>
      <c r="M1925" s="351"/>
    </row>
    <row r="1926" ht="15.6" spans="1:13">
      <c r="A1926" s="70"/>
      <c r="B1926" s="70"/>
      <c r="C1926" s="70"/>
      <c r="D1926" s="70"/>
      <c r="E1926" s="70"/>
      <c r="F1926" s="70"/>
      <c r="G1926" s="343" t="s">
        <v>1116</v>
      </c>
      <c r="H1926" s="338">
        <f t="shared" si="196"/>
        <v>804</v>
      </c>
      <c r="I1926" s="338">
        <v>16</v>
      </c>
      <c r="J1926" s="338"/>
      <c r="K1926" s="338"/>
      <c r="L1926" s="344" t="str">
        <f t="shared" si="195"/>
        <v>扩展帧CAN消息</v>
      </c>
      <c r="M1926" s="351"/>
    </row>
    <row r="1927" ht="15.6" spans="1:13">
      <c r="A1927" s="70"/>
      <c r="B1927" s="70"/>
      <c r="C1927" s="70"/>
      <c r="D1927" s="70"/>
      <c r="E1927" s="70"/>
      <c r="F1927" s="70"/>
      <c r="G1927" s="345" t="s">
        <v>88</v>
      </c>
      <c r="H1927" s="338">
        <f t="shared" si="196"/>
        <v>820</v>
      </c>
      <c r="I1927" s="338">
        <v>4</v>
      </c>
      <c r="J1927" s="338"/>
      <c r="K1927" s="338"/>
      <c r="L1927" s="340" t="str">
        <f t="shared" si="195"/>
        <v/>
      </c>
      <c r="M1927" s="351"/>
    </row>
    <row r="1928" ht="15.6" spans="1:13">
      <c r="A1928" s="70"/>
      <c r="B1928" s="70"/>
      <c r="C1928" s="70"/>
      <c r="D1928" s="70"/>
      <c r="E1928" s="70"/>
      <c r="F1928" s="70"/>
      <c r="G1928" s="343" t="s">
        <v>1117</v>
      </c>
      <c r="H1928" s="338">
        <f t="shared" si="196"/>
        <v>824</v>
      </c>
      <c r="I1928" s="338">
        <v>16</v>
      </c>
      <c r="J1928" s="338"/>
      <c r="K1928" s="338"/>
      <c r="L1928" s="344" t="str">
        <f t="shared" ref="L1928:L1946" si="197">IF(RIGHT(G1928,5)="FRAME","扩展帧CAN消息","")</f>
        <v>扩展帧CAN消息</v>
      </c>
      <c r="M1928" s="351"/>
    </row>
    <row r="1929" ht="15.6" spans="1:13">
      <c r="A1929" s="70"/>
      <c r="B1929" s="70"/>
      <c r="C1929" s="70"/>
      <c r="D1929" s="70"/>
      <c r="E1929" s="70"/>
      <c r="F1929" s="70"/>
      <c r="G1929" s="343" t="s">
        <v>1118</v>
      </c>
      <c r="H1929" s="338">
        <f t="shared" si="196"/>
        <v>840</v>
      </c>
      <c r="I1929" s="338">
        <v>16</v>
      </c>
      <c r="J1929" s="338"/>
      <c r="K1929" s="338"/>
      <c r="L1929" s="344" t="str">
        <f t="shared" si="197"/>
        <v>扩展帧CAN消息</v>
      </c>
      <c r="M1929" s="351"/>
    </row>
    <row r="1930" ht="15.6" spans="1:13">
      <c r="A1930" s="70"/>
      <c r="B1930" s="70"/>
      <c r="C1930" s="70"/>
      <c r="D1930" s="70"/>
      <c r="E1930" s="70"/>
      <c r="F1930" s="70"/>
      <c r="G1930" s="343" t="s">
        <v>1119</v>
      </c>
      <c r="H1930" s="338">
        <f t="shared" si="196"/>
        <v>856</v>
      </c>
      <c r="I1930" s="338">
        <v>16</v>
      </c>
      <c r="J1930" s="338"/>
      <c r="K1930" s="338"/>
      <c r="L1930" s="344" t="str">
        <f t="shared" si="197"/>
        <v>扩展帧CAN消息</v>
      </c>
      <c r="M1930" s="351"/>
    </row>
    <row r="1931" ht="15.6" spans="1:13">
      <c r="A1931" s="70"/>
      <c r="B1931" s="70"/>
      <c r="C1931" s="70"/>
      <c r="D1931" s="70"/>
      <c r="E1931" s="70"/>
      <c r="F1931" s="70"/>
      <c r="G1931" s="343" t="s">
        <v>1120</v>
      </c>
      <c r="H1931" s="338">
        <f t="shared" ref="H1931:H1950" si="198">H1930+I1930</f>
        <v>872</v>
      </c>
      <c r="I1931" s="338">
        <v>16</v>
      </c>
      <c r="J1931" s="338"/>
      <c r="K1931" s="338"/>
      <c r="L1931" s="344" t="str">
        <f t="shared" si="197"/>
        <v>扩展帧CAN消息</v>
      </c>
      <c r="M1931" s="351"/>
    </row>
    <row r="1932" ht="15.6" spans="1:13">
      <c r="A1932" s="70"/>
      <c r="B1932" s="70"/>
      <c r="C1932" s="70"/>
      <c r="D1932" s="70"/>
      <c r="E1932" s="70"/>
      <c r="F1932" s="70"/>
      <c r="G1932" s="345" t="s">
        <v>88</v>
      </c>
      <c r="H1932" s="338">
        <f t="shared" si="198"/>
        <v>888</v>
      </c>
      <c r="I1932" s="338">
        <v>4</v>
      </c>
      <c r="J1932" s="338"/>
      <c r="K1932" s="338"/>
      <c r="L1932" s="340" t="str">
        <f t="shared" si="197"/>
        <v/>
      </c>
      <c r="M1932" s="351"/>
    </row>
    <row r="1933" ht="15.6" spans="1:13">
      <c r="A1933" s="70"/>
      <c r="B1933" s="70"/>
      <c r="C1933" s="70"/>
      <c r="D1933" s="70"/>
      <c r="E1933" s="70"/>
      <c r="F1933" s="70"/>
      <c r="G1933" s="343" t="s">
        <v>1121</v>
      </c>
      <c r="H1933" s="338">
        <f t="shared" si="198"/>
        <v>892</v>
      </c>
      <c r="I1933" s="338">
        <v>16</v>
      </c>
      <c r="J1933" s="338"/>
      <c r="K1933" s="338"/>
      <c r="L1933" s="344" t="str">
        <f t="shared" si="197"/>
        <v>扩展帧CAN消息</v>
      </c>
      <c r="M1933" s="351"/>
    </row>
    <row r="1934" ht="15.6" spans="1:13">
      <c r="A1934" s="70"/>
      <c r="B1934" s="70"/>
      <c r="C1934" s="70"/>
      <c r="D1934" s="70"/>
      <c r="E1934" s="70"/>
      <c r="F1934" s="70"/>
      <c r="G1934" s="343" t="s">
        <v>1122</v>
      </c>
      <c r="H1934" s="338">
        <f t="shared" si="198"/>
        <v>908</v>
      </c>
      <c r="I1934" s="338">
        <v>16</v>
      </c>
      <c r="J1934" s="338"/>
      <c r="K1934" s="338"/>
      <c r="L1934" s="344" t="str">
        <f t="shared" si="197"/>
        <v>扩展帧CAN消息</v>
      </c>
      <c r="M1934" s="351"/>
    </row>
    <row r="1935" ht="15.6" spans="1:13">
      <c r="A1935" s="70"/>
      <c r="B1935" s="70"/>
      <c r="C1935" s="70"/>
      <c r="D1935" s="70"/>
      <c r="E1935" s="70"/>
      <c r="F1935" s="70"/>
      <c r="G1935" s="343" t="s">
        <v>1123</v>
      </c>
      <c r="H1935" s="338">
        <f t="shared" si="198"/>
        <v>924</v>
      </c>
      <c r="I1935" s="338">
        <v>16</v>
      </c>
      <c r="J1935" s="338"/>
      <c r="K1935" s="338"/>
      <c r="L1935" s="344" t="str">
        <f t="shared" si="197"/>
        <v>扩展帧CAN消息</v>
      </c>
      <c r="M1935" s="351"/>
    </row>
    <row r="1936" ht="15.6" spans="1:13">
      <c r="A1936" s="70"/>
      <c r="B1936" s="70"/>
      <c r="C1936" s="70"/>
      <c r="D1936" s="70"/>
      <c r="E1936" s="70"/>
      <c r="F1936" s="70"/>
      <c r="G1936" s="343" t="s">
        <v>1124</v>
      </c>
      <c r="H1936" s="338">
        <f t="shared" si="198"/>
        <v>940</v>
      </c>
      <c r="I1936" s="338">
        <v>16</v>
      </c>
      <c r="J1936" s="338"/>
      <c r="K1936" s="338"/>
      <c r="L1936" s="344" t="str">
        <f t="shared" si="197"/>
        <v>扩展帧CAN消息</v>
      </c>
      <c r="M1936" s="351"/>
    </row>
    <row r="1937" ht="15.6" spans="1:13">
      <c r="A1937" s="70"/>
      <c r="B1937" s="70"/>
      <c r="C1937" s="70"/>
      <c r="D1937" s="70"/>
      <c r="E1937" s="70"/>
      <c r="F1937" s="70"/>
      <c r="G1937" s="345" t="s">
        <v>88</v>
      </c>
      <c r="H1937" s="338">
        <f t="shared" si="198"/>
        <v>956</v>
      </c>
      <c r="I1937" s="338">
        <v>4</v>
      </c>
      <c r="J1937" s="338"/>
      <c r="K1937" s="338"/>
      <c r="L1937" s="340" t="str">
        <f t="shared" si="197"/>
        <v/>
      </c>
      <c r="M1937" s="351"/>
    </row>
    <row r="1938" ht="15.6" spans="1:13">
      <c r="A1938" s="70"/>
      <c r="B1938" s="70"/>
      <c r="C1938" s="70"/>
      <c r="D1938" s="70"/>
      <c r="E1938" s="70"/>
      <c r="F1938" s="70"/>
      <c r="G1938" s="343" t="s">
        <v>1125</v>
      </c>
      <c r="H1938" s="338">
        <f t="shared" si="198"/>
        <v>960</v>
      </c>
      <c r="I1938" s="338">
        <v>16</v>
      </c>
      <c r="J1938" s="338"/>
      <c r="K1938" s="338"/>
      <c r="L1938" s="344" t="str">
        <f t="shared" si="197"/>
        <v>扩展帧CAN消息</v>
      </c>
      <c r="M1938" s="351"/>
    </row>
    <row r="1939" ht="15.6" spans="1:13">
      <c r="A1939" s="70"/>
      <c r="B1939" s="70"/>
      <c r="C1939" s="70"/>
      <c r="D1939" s="70"/>
      <c r="E1939" s="70"/>
      <c r="F1939" s="70"/>
      <c r="G1939" s="343" t="s">
        <v>1126</v>
      </c>
      <c r="H1939" s="338">
        <f t="shared" si="198"/>
        <v>976</v>
      </c>
      <c r="I1939" s="338">
        <v>16</v>
      </c>
      <c r="J1939" s="338"/>
      <c r="K1939" s="338"/>
      <c r="L1939" s="344" t="str">
        <f t="shared" si="197"/>
        <v>扩展帧CAN消息</v>
      </c>
      <c r="M1939" s="351"/>
    </row>
    <row r="1940" ht="15.6" spans="1:13">
      <c r="A1940" s="70"/>
      <c r="B1940" s="70"/>
      <c r="C1940" s="70"/>
      <c r="D1940" s="70"/>
      <c r="E1940" s="70"/>
      <c r="F1940" s="70"/>
      <c r="G1940" s="343" t="s">
        <v>1127</v>
      </c>
      <c r="H1940" s="338">
        <f t="shared" si="198"/>
        <v>992</v>
      </c>
      <c r="I1940" s="338">
        <v>16</v>
      </c>
      <c r="J1940" s="338"/>
      <c r="K1940" s="338"/>
      <c r="L1940" s="344" t="str">
        <f t="shared" si="197"/>
        <v>扩展帧CAN消息</v>
      </c>
      <c r="M1940" s="351"/>
    </row>
    <row r="1941" ht="15.6" spans="1:13">
      <c r="A1941" s="70"/>
      <c r="B1941" s="70"/>
      <c r="C1941" s="70"/>
      <c r="D1941" s="70"/>
      <c r="E1941" s="70"/>
      <c r="F1941" s="70"/>
      <c r="G1941" s="343" t="s">
        <v>1128</v>
      </c>
      <c r="H1941" s="338">
        <f t="shared" si="198"/>
        <v>1008</v>
      </c>
      <c r="I1941" s="338">
        <v>16</v>
      </c>
      <c r="J1941" s="338"/>
      <c r="K1941" s="338"/>
      <c r="L1941" s="344" t="str">
        <f t="shared" si="197"/>
        <v>扩展帧CAN消息</v>
      </c>
      <c r="M1941" s="351"/>
    </row>
    <row r="1942" ht="15.6" spans="1:13">
      <c r="A1942" s="70"/>
      <c r="B1942" s="70"/>
      <c r="C1942" s="70"/>
      <c r="D1942" s="70"/>
      <c r="E1942" s="70"/>
      <c r="F1942" s="70"/>
      <c r="G1942" s="345" t="s">
        <v>88</v>
      </c>
      <c r="H1942" s="338">
        <f t="shared" si="198"/>
        <v>1024</v>
      </c>
      <c r="I1942" s="338">
        <v>4</v>
      </c>
      <c r="J1942" s="338"/>
      <c r="K1942" s="338"/>
      <c r="L1942" s="340" t="str">
        <f t="shared" si="197"/>
        <v/>
      </c>
      <c r="M1942" s="351"/>
    </row>
    <row r="1943" ht="15.6" spans="1:13">
      <c r="A1943" s="70"/>
      <c r="B1943" s="70"/>
      <c r="C1943" s="70"/>
      <c r="D1943" s="70"/>
      <c r="E1943" s="70"/>
      <c r="F1943" s="70"/>
      <c r="G1943" s="343" t="s">
        <v>1129</v>
      </c>
      <c r="H1943" s="338">
        <f t="shared" si="198"/>
        <v>1028</v>
      </c>
      <c r="I1943" s="338">
        <v>16</v>
      </c>
      <c r="J1943" s="338"/>
      <c r="K1943" s="338"/>
      <c r="L1943" s="344" t="str">
        <f t="shared" si="197"/>
        <v>扩展帧CAN消息</v>
      </c>
      <c r="M1943" s="351"/>
    </row>
    <row r="1944" ht="15.6" spans="1:13">
      <c r="A1944" s="70"/>
      <c r="B1944" s="70"/>
      <c r="C1944" s="70"/>
      <c r="D1944" s="70"/>
      <c r="E1944" s="70"/>
      <c r="F1944" s="70"/>
      <c r="G1944" s="343" t="s">
        <v>1130</v>
      </c>
      <c r="H1944" s="338">
        <f t="shared" si="198"/>
        <v>1044</v>
      </c>
      <c r="I1944" s="338">
        <v>16</v>
      </c>
      <c r="J1944" s="338"/>
      <c r="K1944" s="338"/>
      <c r="L1944" s="344" t="str">
        <f t="shared" si="197"/>
        <v>扩展帧CAN消息</v>
      </c>
      <c r="M1944" s="351"/>
    </row>
    <row r="1945" ht="15.6" spans="1:13">
      <c r="A1945" s="70"/>
      <c r="B1945" s="70"/>
      <c r="C1945" s="70"/>
      <c r="D1945" s="70"/>
      <c r="E1945" s="70"/>
      <c r="F1945" s="70"/>
      <c r="G1945" s="343" t="s">
        <v>1131</v>
      </c>
      <c r="H1945" s="338">
        <f t="shared" si="198"/>
        <v>1060</v>
      </c>
      <c r="I1945" s="338">
        <v>16</v>
      </c>
      <c r="J1945" s="338"/>
      <c r="K1945" s="338"/>
      <c r="L1945" s="344" t="str">
        <f t="shared" si="197"/>
        <v>扩展帧CAN消息</v>
      </c>
      <c r="M1945" s="351"/>
    </row>
    <row r="1946" ht="15.6" spans="1:13">
      <c r="A1946" s="70"/>
      <c r="B1946" s="70"/>
      <c r="C1946" s="70"/>
      <c r="D1946" s="70"/>
      <c r="E1946" s="70"/>
      <c r="F1946" s="70"/>
      <c r="G1946" s="343" t="s">
        <v>1132</v>
      </c>
      <c r="H1946" s="338">
        <f t="shared" si="198"/>
        <v>1076</v>
      </c>
      <c r="I1946" s="338">
        <v>16</v>
      </c>
      <c r="J1946" s="338"/>
      <c r="K1946" s="338"/>
      <c r="L1946" s="344" t="str">
        <f t="shared" si="197"/>
        <v>扩展帧CAN消息</v>
      </c>
      <c r="M1946" s="351"/>
    </row>
    <row r="1947" ht="15.6" spans="1:13">
      <c r="A1947" s="70"/>
      <c r="B1947" s="70"/>
      <c r="C1947" s="70"/>
      <c r="D1947" s="70"/>
      <c r="E1947" s="70"/>
      <c r="F1947" s="70"/>
      <c r="G1947" s="345" t="s">
        <v>88</v>
      </c>
      <c r="H1947" s="338">
        <f t="shared" si="198"/>
        <v>1092</v>
      </c>
      <c r="I1947" s="338">
        <v>4</v>
      </c>
      <c r="J1947" s="338"/>
      <c r="K1947" s="338"/>
      <c r="L1947" s="346"/>
      <c r="M1947" s="351"/>
    </row>
    <row r="1948" ht="15.6" spans="1:13">
      <c r="A1948" s="70"/>
      <c r="B1948" s="70"/>
      <c r="C1948" s="70"/>
      <c r="D1948" s="70"/>
      <c r="E1948" s="70"/>
      <c r="F1948" s="70"/>
      <c r="G1948" s="343" t="s">
        <v>1133</v>
      </c>
      <c r="H1948" s="338">
        <f t="shared" si="198"/>
        <v>1096</v>
      </c>
      <c r="I1948" s="338">
        <v>16</v>
      </c>
      <c r="J1948" s="338"/>
      <c r="K1948" s="338"/>
      <c r="L1948" s="344" t="str">
        <f>IF(RIGHT(G1948,5)="FRAME","扩展帧CAN消息","")</f>
        <v>扩展帧CAN消息</v>
      </c>
      <c r="M1948" s="351"/>
    </row>
    <row r="1949" ht="15.6" spans="1:13">
      <c r="A1949" s="70"/>
      <c r="B1949" s="70"/>
      <c r="C1949" s="70"/>
      <c r="D1949" s="70"/>
      <c r="E1949" s="70"/>
      <c r="F1949" s="70"/>
      <c r="G1949" s="347" t="s">
        <v>1134</v>
      </c>
      <c r="H1949" s="348">
        <f t="shared" si="198"/>
        <v>1112</v>
      </c>
      <c r="I1949" s="348">
        <v>16</v>
      </c>
      <c r="J1949" s="338"/>
      <c r="K1949" s="338"/>
      <c r="L1949" s="344" t="str">
        <f>IF(RIGHT(G1949,5)="FRAME","扩展帧CAN消息","")</f>
        <v>扩展帧CAN消息</v>
      </c>
      <c r="M1949" s="351"/>
    </row>
    <row r="1950" ht="15.6" spans="1:13">
      <c r="A1950" s="70"/>
      <c r="B1950" s="70"/>
      <c r="C1950" s="70"/>
      <c r="D1950" s="70"/>
      <c r="E1950" s="70"/>
      <c r="F1950" s="70"/>
      <c r="G1950" s="347" t="s">
        <v>1135</v>
      </c>
      <c r="H1950" s="348">
        <f t="shared" si="198"/>
        <v>1128</v>
      </c>
      <c r="I1950" s="348">
        <v>16</v>
      </c>
      <c r="J1950" s="338"/>
      <c r="K1950" s="338"/>
      <c r="L1950" s="344" t="str">
        <f>IF(RIGHT(G1948,5)="FRAME","扩展帧CAN消息","")</f>
        <v>扩展帧CAN消息</v>
      </c>
      <c r="M1950" s="352"/>
    </row>
    <row r="1951" spans="1:13">
      <c r="A1951" s="338" t="s">
        <v>1138</v>
      </c>
      <c r="B1951" s="338" t="s">
        <v>1139</v>
      </c>
      <c r="C1951" s="338" t="s">
        <v>1140</v>
      </c>
      <c r="D1951" s="338" t="s">
        <v>118</v>
      </c>
      <c r="E1951" s="338">
        <v>7052</v>
      </c>
      <c r="F1951" s="70" t="s">
        <v>17</v>
      </c>
      <c r="G1951" s="339" t="s">
        <v>87</v>
      </c>
      <c r="H1951" s="338">
        <v>0</v>
      </c>
      <c r="I1951" s="338">
        <v>4</v>
      </c>
      <c r="J1951" s="338" t="s">
        <v>97</v>
      </c>
      <c r="K1951" s="338">
        <v>400</v>
      </c>
      <c r="L1951" s="340" t="str">
        <f t="shared" ref="L1950:L2013" si="199">IF(RIGHT(G1951,5)="FRAME","扩展帧CAN消息","")</f>
        <v/>
      </c>
      <c r="M1951" s="353">
        <v>1402201</v>
      </c>
    </row>
    <row r="1952" spans="1:13">
      <c r="A1952" s="338"/>
      <c r="B1952" s="338"/>
      <c r="C1952" s="338"/>
      <c r="D1952" s="338"/>
      <c r="E1952" s="338"/>
      <c r="F1952" s="70"/>
      <c r="G1952" s="339" t="s">
        <v>88</v>
      </c>
      <c r="H1952" s="338">
        <f t="shared" ref="H1952:H2015" si="200">H1951+I1951</f>
        <v>4</v>
      </c>
      <c r="I1952" s="338">
        <v>4</v>
      </c>
      <c r="J1952" s="338"/>
      <c r="K1952" s="338"/>
      <c r="L1952" s="340" t="str">
        <f t="shared" si="199"/>
        <v/>
      </c>
      <c r="M1952" s="354"/>
    </row>
    <row r="1953" ht="15.6" spans="1:13">
      <c r="A1953" s="338"/>
      <c r="B1953" s="338"/>
      <c r="C1953" s="338"/>
      <c r="D1953" s="338"/>
      <c r="E1953" s="338"/>
      <c r="F1953" s="70"/>
      <c r="G1953" s="343" t="s">
        <v>1141</v>
      </c>
      <c r="H1953" s="338">
        <f t="shared" si="200"/>
        <v>8</v>
      </c>
      <c r="I1953" s="338">
        <v>16</v>
      </c>
      <c r="J1953" s="338"/>
      <c r="K1953" s="338"/>
      <c r="L1953" s="344" t="str">
        <f t="shared" si="199"/>
        <v>扩展帧CAN消息</v>
      </c>
      <c r="M1953" s="354"/>
    </row>
    <row r="1954" ht="15.6" spans="1:13">
      <c r="A1954" s="338"/>
      <c r="B1954" s="338"/>
      <c r="C1954" s="338"/>
      <c r="D1954" s="338"/>
      <c r="E1954" s="338"/>
      <c r="F1954" s="70"/>
      <c r="G1954" s="343" t="s">
        <v>1142</v>
      </c>
      <c r="H1954" s="338">
        <f t="shared" si="200"/>
        <v>24</v>
      </c>
      <c r="I1954" s="338">
        <v>16</v>
      </c>
      <c r="J1954" s="338"/>
      <c r="K1954" s="338"/>
      <c r="L1954" s="344" t="str">
        <f t="shared" si="199"/>
        <v>扩展帧CAN消息</v>
      </c>
      <c r="M1954" s="354"/>
    </row>
    <row r="1955" ht="15.6" spans="1:13">
      <c r="A1955" s="338"/>
      <c r="B1955" s="338"/>
      <c r="C1955" s="338"/>
      <c r="D1955" s="338"/>
      <c r="E1955" s="338"/>
      <c r="F1955" s="70"/>
      <c r="G1955" s="343" t="s">
        <v>1143</v>
      </c>
      <c r="H1955" s="338">
        <f t="shared" si="200"/>
        <v>40</v>
      </c>
      <c r="I1955" s="338">
        <v>16</v>
      </c>
      <c r="J1955" s="338"/>
      <c r="K1955" s="338"/>
      <c r="L1955" s="344" t="str">
        <f t="shared" si="199"/>
        <v>扩展帧CAN消息</v>
      </c>
      <c r="M1955" s="354"/>
    </row>
    <row r="1956" ht="15.6" spans="1:13">
      <c r="A1956" s="338"/>
      <c r="B1956" s="338"/>
      <c r="C1956" s="338"/>
      <c r="D1956" s="338"/>
      <c r="E1956" s="338"/>
      <c r="F1956" s="70"/>
      <c r="G1956" s="343" t="s">
        <v>1144</v>
      </c>
      <c r="H1956" s="338">
        <f t="shared" si="200"/>
        <v>56</v>
      </c>
      <c r="I1956" s="338">
        <v>16</v>
      </c>
      <c r="J1956" s="338"/>
      <c r="K1956" s="338"/>
      <c r="L1956" s="344" t="str">
        <f t="shared" si="199"/>
        <v>扩展帧CAN消息</v>
      </c>
      <c r="M1956" s="354"/>
    </row>
    <row r="1957" ht="15.6" spans="1:13">
      <c r="A1957" s="338"/>
      <c r="B1957" s="338"/>
      <c r="C1957" s="338"/>
      <c r="D1957" s="338"/>
      <c r="E1957" s="338"/>
      <c r="F1957" s="70"/>
      <c r="G1957" s="345" t="s">
        <v>88</v>
      </c>
      <c r="H1957" s="338">
        <f t="shared" si="200"/>
        <v>72</v>
      </c>
      <c r="I1957" s="338">
        <v>4</v>
      </c>
      <c r="J1957" s="338"/>
      <c r="K1957" s="338"/>
      <c r="L1957" s="340" t="str">
        <f t="shared" si="199"/>
        <v/>
      </c>
      <c r="M1957" s="354"/>
    </row>
    <row r="1958" ht="15.6" spans="1:13">
      <c r="A1958" s="338"/>
      <c r="B1958" s="338"/>
      <c r="C1958" s="338"/>
      <c r="D1958" s="338"/>
      <c r="E1958" s="338"/>
      <c r="F1958" s="70"/>
      <c r="G1958" s="343" t="s">
        <v>1145</v>
      </c>
      <c r="H1958" s="338">
        <f t="shared" si="200"/>
        <v>76</v>
      </c>
      <c r="I1958" s="338">
        <v>16</v>
      </c>
      <c r="J1958" s="338"/>
      <c r="K1958" s="338"/>
      <c r="L1958" s="344" t="str">
        <f t="shared" si="199"/>
        <v>扩展帧CAN消息</v>
      </c>
      <c r="M1958" s="354"/>
    </row>
    <row r="1959" ht="15.6" spans="1:13">
      <c r="A1959" s="338"/>
      <c r="B1959" s="338"/>
      <c r="C1959" s="338"/>
      <c r="D1959" s="338"/>
      <c r="E1959" s="338"/>
      <c r="F1959" s="70"/>
      <c r="G1959" s="343" t="s">
        <v>1146</v>
      </c>
      <c r="H1959" s="338">
        <f t="shared" si="200"/>
        <v>92</v>
      </c>
      <c r="I1959" s="338">
        <v>16</v>
      </c>
      <c r="J1959" s="338"/>
      <c r="K1959" s="338"/>
      <c r="L1959" s="344" t="str">
        <f t="shared" si="199"/>
        <v>扩展帧CAN消息</v>
      </c>
      <c r="M1959" s="354"/>
    </row>
    <row r="1960" ht="15.6" spans="1:13">
      <c r="A1960" s="338"/>
      <c r="B1960" s="338"/>
      <c r="C1960" s="338"/>
      <c r="D1960" s="338"/>
      <c r="E1960" s="338"/>
      <c r="F1960" s="70"/>
      <c r="G1960" s="343" t="s">
        <v>1147</v>
      </c>
      <c r="H1960" s="338">
        <f t="shared" si="200"/>
        <v>108</v>
      </c>
      <c r="I1960" s="338">
        <v>16</v>
      </c>
      <c r="J1960" s="338"/>
      <c r="K1960" s="338"/>
      <c r="L1960" s="344" t="str">
        <f t="shared" si="199"/>
        <v>扩展帧CAN消息</v>
      </c>
      <c r="M1960" s="354"/>
    </row>
    <row r="1961" ht="15.6" spans="1:13">
      <c r="A1961" s="338"/>
      <c r="B1961" s="338"/>
      <c r="C1961" s="338"/>
      <c r="D1961" s="338"/>
      <c r="E1961" s="338"/>
      <c r="F1961" s="70"/>
      <c r="G1961" s="343" t="s">
        <v>1148</v>
      </c>
      <c r="H1961" s="338">
        <f t="shared" si="200"/>
        <v>124</v>
      </c>
      <c r="I1961" s="338">
        <v>16</v>
      </c>
      <c r="J1961" s="338"/>
      <c r="K1961" s="338"/>
      <c r="L1961" s="344" t="str">
        <f t="shared" si="199"/>
        <v>扩展帧CAN消息</v>
      </c>
      <c r="M1961" s="354"/>
    </row>
    <row r="1962" ht="15.6" spans="1:13">
      <c r="A1962" s="338"/>
      <c r="B1962" s="338"/>
      <c r="C1962" s="338"/>
      <c r="D1962" s="338"/>
      <c r="E1962" s="338"/>
      <c r="F1962" s="70"/>
      <c r="G1962" s="345" t="s">
        <v>88</v>
      </c>
      <c r="H1962" s="338">
        <f t="shared" si="200"/>
        <v>140</v>
      </c>
      <c r="I1962" s="338">
        <v>4</v>
      </c>
      <c r="J1962" s="338"/>
      <c r="K1962" s="338"/>
      <c r="L1962" s="340" t="str">
        <f t="shared" si="199"/>
        <v/>
      </c>
      <c r="M1962" s="354"/>
    </row>
    <row r="1963" ht="15.6" spans="1:13">
      <c r="A1963" s="338"/>
      <c r="B1963" s="338"/>
      <c r="C1963" s="338"/>
      <c r="D1963" s="338"/>
      <c r="E1963" s="338"/>
      <c r="F1963" s="70"/>
      <c r="G1963" s="343" t="s">
        <v>1149</v>
      </c>
      <c r="H1963" s="338">
        <f t="shared" si="200"/>
        <v>144</v>
      </c>
      <c r="I1963" s="338">
        <v>16</v>
      </c>
      <c r="J1963" s="338"/>
      <c r="K1963" s="338"/>
      <c r="L1963" s="344" t="str">
        <f t="shared" si="199"/>
        <v>扩展帧CAN消息</v>
      </c>
      <c r="M1963" s="354"/>
    </row>
    <row r="1964" ht="15.6" spans="1:13">
      <c r="A1964" s="338"/>
      <c r="B1964" s="338"/>
      <c r="C1964" s="338"/>
      <c r="D1964" s="338"/>
      <c r="E1964" s="338"/>
      <c r="F1964" s="70"/>
      <c r="G1964" s="343" t="s">
        <v>1150</v>
      </c>
      <c r="H1964" s="338">
        <f t="shared" si="200"/>
        <v>160</v>
      </c>
      <c r="I1964" s="338">
        <v>16</v>
      </c>
      <c r="J1964" s="338"/>
      <c r="K1964" s="338"/>
      <c r="L1964" s="344" t="str">
        <f t="shared" si="199"/>
        <v>扩展帧CAN消息</v>
      </c>
      <c r="M1964" s="354"/>
    </row>
    <row r="1965" ht="15.6" spans="1:13">
      <c r="A1965" s="338"/>
      <c r="B1965" s="338"/>
      <c r="C1965" s="338"/>
      <c r="D1965" s="338"/>
      <c r="E1965" s="338"/>
      <c r="F1965" s="70"/>
      <c r="G1965" s="343" t="s">
        <v>1151</v>
      </c>
      <c r="H1965" s="338">
        <f t="shared" si="200"/>
        <v>176</v>
      </c>
      <c r="I1965" s="338">
        <v>16</v>
      </c>
      <c r="J1965" s="338"/>
      <c r="K1965" s="338"/>
      <c r="L1965" s="344" t="str">
        <f t="shared" si="199"/>
        <v>扩展帧CAN消息</v>
      </c>
      <c r="M1965" s="354"/>
    </row>
    <row r="1966" ht="15.6" spans="1:13">
      <c r="A1966" s="338"/>
      <c r="B1966" s="338"/>
      <c r="C1966" s="338"/>
      <c r="D1966" s="338"/>
      <c r="E1966" s="338"/>
      <c r="F1966" s="70"/>
      <c r="G1966" s="343" t="s">
        <v>1152</v>
      </c>
      <c r="H1966" s="338">
        <f t="shared" si="200"/>
        <v>192</v>
      </c>
      <c r="I1966" s="338">
        <v>16</v>
      </c>
      <c r="J1966" s="338"/>
      <c r="K1966" s="338"/>
      <c r="L1966" s="344" t="str">
        <f t="shared" si="199"/>
        <v>扩展帧CAN消息</v>
      </c>
      <c r="M1966" s="354"/>
    </row>
    <row r="1967" ht="15.6" spans="1:13">
      <c r="A1967" s="338"/>
      <c r="B1967" s="338"/>
      <c r="C1967" s="338"/>
      <c r="D1967" s="338"/>
      <c r="E1967" s="338"/>
      <c r="F1967" s="70"/>
      <c r="G1967" s="345" t="s">
        <v>88</v>
      </c>
      <c r="H1967" s="338">
        <f t="shared" si="200"/>
        <v>208</v>
      </c>
      <c r="I1967" s="338">
        <v>4</v>
      </c>
      <c r="J1967" s="338"/>
      <c r="K1967" s="338"/>
      <c r="L1967" s="340" t="str">
        <f t="shared" si="199"/>
        <v/>
      </c>
      <c r="M1967" s="354"/>
    </row>
    <row r="1968" ht="15.6" spans="1:13">
      <c r="A1968" s="338"/>
      <c r="B1968" s="338"/>
      <c r="C1968" s="338"/>
      <c r="D1968" s="338"/>
      <c r="E1968" s="338"/>
      <c r="F1968" s="70"/>
      <c r="G1968" s="343" t="s">
        <v>1153</v>
      </c>
      <c r="H1968" s="338">
        <f t="shared" si="200"/>
        <v>212</v>
      </c>
      <c r="I1968" s="338">
        <v>16</v>
      </c>
      <c r="J1968" s="338"/>
      <c r="K1968" s="338"/>
      <c r="L1968" s="344" t="str">
        <f t="shared" si="199"/>
        <v>扩展帧CAN消息</v>
      </c>
      <c r="M1968" s="354"/>
    </row>
    <row r="1969" ht="15.6" spans="1:13">
      <c r="A1969" s="338"/>
      <c r="B1969" s="338"/>
      <c r="C1969" s="338"/>
      <c r="D1969" s="338"/>
      <c r="E1969" s="338"/>
      <c r="F1969" s="70"/>
      <c r="G1969" s="343" t="s">
        <v>1154</v>
      </c>
      <c r="H1969" s="338">
        <f t="shared" si="200"/>
        <v>228</v>
      </c>
      <c r="I1969" s="338">
        <v>16</v>
      </c>
      <c r="J1969" s="338"/>
      <c r="K1969" s="338"/>
      <c r="L1969" s="344" t="str">
        <f t="shared" si="199"/>
        <v>扩展帧CAN消息</v>
      </c>
      <c r="M1969" s="354"/>
    </row>
    <row r="1970" ht="15.6" spans="1:13">
      <c r="A1970" s="338"/>
      <c r="B1970" s="338"/>
      <c r="C1970" s="338"/>
      <c r="D1970" s="338"/>
      <c r="E1970" s="338"/>
      <c r="F1970" s="70"/>
      <c r="G1970" s="343" t="s">
        <v>1155</v>
      </c>
      <c r="H1970" s="338">
        <f t="shared" si="200"/>
        <v>244</v>
      </c>
      <c r="I1970" s="338">
        <v>16</v>
      </c>
      <c r="J1970" s="338"/>
      <c r="K1970" s="338"/>
      <c r="L1970" s="344" t="str">
        <f t="shared" si="199"/>
        <v>扩展帧CAN消息</v>
      </c>
      <c r="M1970" s="354"/>
    </row>
    <row r="1971" ht="15.6" spans="1:13">
      <c r="A1971" s="338"/>
      <c r="B1971" s="338"/>
      <c r="C1971" s="338"/>
      <c r="D1971" s="338"/>
      <c r="E1971" s="338"/>
      <c r="F1971" s="70"/>
      <c r="G1971" s="343" t="s">
        <v>1156</v>
      </c>
      <c r="H1971" s="338">
        <f t="shared" si="200"/>
        <v>260</v>
      </c>
      <c r="I1971" s="338">
        <v>16</v>
      </c>
      <c r="J1971" s="338"/>
      <c r="K1971" s="338"/>
      <c r="L1971" s="344" t="str">
        <f t="shared" si="199"/>
        <v>扩展帧CAN消息</v>
      </c>
      <c r="M1971" s="354"/>
    </row>
    <row r="1972" ht="15.6" spans="1:13">
      <c r="A1972" s="338"/>
      <c r="B1972" s="338"/>
      <c r="C1972" s="338"/>
      <c r="D1972" s="338"/>
      <c r="E1972" s="338"/>
      <c r="F1972" s="70"/>
      <c r="G1972" s="345" t="s">
        <v>88</v>
      </c>
      <c r="H1972" s="338">
        <f t="shared" si="200"/>
        <v>276</v>
      </c>
      <c r="I1972" s="338">
        <v>4</v>
      </c>
      <c r="J1972" s="338"/>
      <c r="K1972" s="338"/>
      <c r="L1972" s="340" t="str">
        <f t="shared" si="199"/>
        <v/>
      </c>
      <c r="M1972" s="354"/>
    </row>
    <row r="1973" ht="15.6" spans="1:13">
      <c r="A1973" s="338"/>
      <c r="B1973" s="338"/>
      <c r="C1973" s="338"/>
      <c r="D1973" s="338"/>
      <c r="E1973" s="338"/>
      <c r="F1973" s="70"/>
      <c r="G1973" s="343" t="s">
        <v>1157</v>
      </c>
      <c r="H1973" s="338">
        <f t="shared" si="200"/>
        <v>280</v>
      </c>
      <c r="I1973" s="338">
        <v>16</v>
      </c>
      <c r="J1973" s="338"/>
      <c r="K1973" s="338"/>
      <c r="L1973" s="344" t="str">
        <f t="shared" si="199"/>
        <v>扩展帧CAN消息</v>
      </c>
      <c r="M1973" s="354"/>
    </row>
    <row r="1974" ht="15.6" spans="1:13">
      <c r="A1974" s="338"/>
      <c r="B1974" s="338"/>
      <c r="C1974" s="338"/>
      <c r="D1974" s="338"/>
      <c r="E1974" s="338"/>
      <c r="F1974" s="70"/>
      <c r="G1974" s="343" t="s">
        <v>1158</v>
      </c>
      <c r="H1974" s="338">
        <f t="shared" si="200"/>
        <v>296</v>
      </c>
      <c r="I1974" s="338">
        <v>16</v>
      </c>
      <c r="J1974" s="338"/>
      <c r="K1974" s="338"/>
      <c r="L1974" s="344" t="str">
        <f t="shared" si="199"/>
        <v>扩展帧CAN消息</v>
      </c>
      <c r="M1974" s="354"/>
    </row>
    <row r="1975" ht="15.6" spans="1:13">
      <c r="A1975" s="338"/>
      <c r="B1975" s="338"/>
      <c r="C1975" s="338"/>
      <c r="D1975" s="338"/>
      <c r="E1975" s="338"/>
      <c r="F1975" s="70"/>
      <c r="G1975" s="343" t="s">
        <v>1159</v>
      </c>
      <c r="H1975" s="338">
        <f t="shared" si="200"/>
        <v>312</v>
      </c>
      <c r="I1975" s="338">
        <v>16</v>
      </c>
      <c r="J1975" s="338"/>
      <c r="K1975" s="338"/>
      <c r="L1975" s="344" t="str">
        <f t="shared" si="199"/>
        <v>扩展帧CAN消息</v>
      </c>
      <c r="M1975" s="354"/>
    </row>
    <row r="1976" ht="15.6" spans="1:13">
      <c r="A1976" s="338"/>
      <c r="B1976" s="338"/>
      <c r="C1976" s="338"/>
      <c r="D1976" s="338"/>
      <c r="E1976" s="338"/>
      <c r="F1976" s="70"/>
      <c r="G1976" s="343" t="s">
        <v>1160</v>
      </c>
      <c r="H1976" s="338">
        <f t="shared" si="200"/>
        <v>328</v>
      </c>
      <c r="I1976" s="338">
        <v>16</v>
      </c>
      <c r="J1976" s="338"/>
      <c r="K1976" s="338"/>
      <c r="L1976" s="344" t="str">
        <f t="shared" si="199"/>
        <v>扩展帧CAN消息</v>
      </c>
      <c r="M1976" s="354"/>
    </row>
    <row r="1977" ht="15.6" spans="1:13">
      <c r="A1977" s="338"/>
      <c r="B1977" s="338"/>
      <c r="C1977" s="338"/>
      <c r="D1977" s="338"/>
      <c r="E1977" s="338"/>
      <c r="F1977" s="70"/>
      <c r="G1977" s="345" t="s">
        <v>88</v>
      </c>
      <c r="H1977" s="338">
        <f t="shared" si="200"/>
        <v>344</v>
      </c>
      <c r="I1977" s="338">
        <v>4</v>
      </c>
      <c r="J1977" s="338"/>
      <c r="K1977" s="338"/>
      <c r="L1977" s="340" t="str">
        <f t="shared" si="199"/>
        <v/>
      </c>
      <c r="M1977" s="354"/>
    </row>
    <row r="1978" ht="15.6" spans="1:13">
      <c r="A1978" s="338"/>
      <c r="B1978" s="338"/>
      <c r="C1978" s="338"/>
      <c r="D1978" s="338"/>
      <c r="E1978" s="338"/>
      <c r="F1978" s="70"/>
      <c r="G1978" s="343" t="s">
        <v>1161</v>
      </c>
      <c r="H1978" s="338">
        <f t="shared" si="200"/>
        <v>348</v>
      </c>
      <c r="I1978" s="338">
        <v>16</v>
      </c>
      <c r="J1978" s="338"/>
      <c r="K1978" s="338"/>
      <c r="L1978" s="344" t="str">
        <f t="shared" si="199"/>
        <v>扩展帧CAN消息</v>
      </c>
      <c r="M1978" s="354"/>
    </row>
    <row r="1979" ht="15.6" spans="1:13">
      <c r="A1979" s="338"/>
      <c r="B1979" s="338"/>
      <c r="C1979" s="338"/>
      <c r="D1979" s="338"/>
      <c r="E1979" s="338"/>
      <c r="F1979" s="70"/>
      <c r="G1979" s="343" t="s">
        <v>1162</v>
      </c>
      <c r="H1979" s="338">
        <f t="shared" si="200"/>
        <v>364</v>
      </c>
      <c r="I1979" s="338">
        <v>16</v>
      </c>
      <c r="J1979" s="338"/>
      <c r="K1979" s="338"/>
      <c r="L1979" s="344" t="str">
        <f t="shared" si="199"/>
        <v>扩展帧CAN消息</v>
      </c>
      <c r="M1979" s="354"/>
    </row>
    <row r="1980" ht="15.6" spans="1:13">
      <c r="A1980" s="338"/>
      <c r="B1980" s="338"/>
      <c r="C1980" s="338"/>
      <c r="D1980" s="338"/>
      <c r="E1980" s="338"/>
      <c r="F1980" s="70"/>
      <c r="G1980" s="343" t="s">
        <v>1163</v>
      </c>
      <c r="H1980" s="338">
        <f t="shared" si="200"/>
        <v>380</v>
      </c>
      <c r="I1980" s="338">
        <v>16</v>
      </c>
      <c r="J1980" s="338"/>
      <c r="K1980" s="338"/>
      <c r="L1980" s="344" t="str">
        <f t="shared" si="199"/>
        <v>扩展帧CAN消息</v>
      </c>
      <c r="M1980" s="354"/>
    </row>
    <row r="1981" ht="15.6" spans="1:13">
      <c r="A1981" s="338"/>
      <c r="B1981" s="338"/>
      <c r="C1981" s="338"/>
      <c r="D1981" s="338"/>
      <c r="E1981" s="338"/>
      <c r="F1981" s="70"/>
      <c r="G1981" s="343" t="s">
        <v>1164</v>
      </c>
      <c r="H1981" s="338">
        <f t="shared" si="200"/>
        <v>396</v>
      </c>
      <c r="I1981" s="338">
        <v>16</v>
      </c>
      <c r="J1981" s="338"/>
      <c r="K1981" s="338"/>
      <c r="L1981" s="344" t="str">
        <f t="shared" si="199"/>
        <v>扩展帧CAN消息</v>
      </c>
      <c r="M1981" s="354"/>
    </row>
    <row r="1982" ht="15.6" spans="1:13">
      <c r="A1982" s="338"/>
      <c r="B1982" s="338"/>
      <c r="C1982" s="338"/>
      <c r="D1982" s="338"/>
      <c r="E1982" s="338"/>
      <c r="F1982" s="70"/>
      <c r="G1982" s="345" t="s">
        <v>88</v>
      </c>
      <c r="H1982" s="338">
        <f t="shared" si="200"/>
        <v>412</v>
      </c>
      <c r="I1982" s="338">
        <v>4</v>
      </c>
      <c r="J1982" s="338"/>
      <c r="K1982" s="338"/>
      <c r="L1982" s="340" t="str">
        <f t="shared" si="199"/>
        <v/>
      </c>
      <c r="M1982" s="354"/>
    </row>
    <row r="1983" ht="15.6" spans="1:13">
      <c r="A1983" s="338"/>
      <c r="B1983" s="338"/>
      <c r="C1983" s="338"/>
      <c r="D1983" s="338"/>
      <c r="E1983" s="338"/>
      <c r="F1983" s="70"/>
      <c r="G1983" s="343" t="s">
        <v>1165</v>
      </c>
      <c r="H1983" s="338">
        <f t="shared" si="200"/>
        <v>416</v>
      </c>
      <c r="I1983" s="338">
        <v>16</v>
      </c>
      <c r="J1983" s="338"/>
      <c r="K1983" s="338"/>
      <c r="L1983" s="344" t="str">
        <f t="shared" si="199"/>
        <v>扩展帧CAN消息</v>
      </c>
      <c r="M1983" s="354"/>
    </row>
    <row r="1984" ht="15.6" spans="1:13">
      <c r="A1984" s="338"/>
      <c r="B1984" s="338"/>
      <c r="C1984" s="338"/>
      <c r="D1984" s="338"/>
      <c r="E1984" s="338"/>
      <c r="F1984" s="70"/>
      <c r="G1984" s="343" t="s">
        <v>1166</v>
      </c>
      <c r="H1984" s="338">
        <f t="shared" si="200"/>
        <v>432</v>
      </c>
      <c r="I1984" s="338">
        <v>16</v>
      </c>
      <c r="J1984" s="338"/>
      <c r="K1984" s="338"/>
      <c r="L1984" s="344" t="str">
        <f t="shared" si="199"/>
        <v>扩展帧CAN消息</v>
      </c>
      <c r="M1984" s="354"/>
    </row>
    <row r="1985" ht="15.6" spans="1:13">
      <c r="A1985" s="338"/>
      <c r="B1985" s="338"/>
      <c r="C1985" s="338"/>
      <c r="D1985" s="338"/>
      <c r="E1985" s="338"/>
      <c r="F1985" s="70"/>
      <c r="G1985" s="343" t="s">
        <v>1167</v>
      </c>
      <c r="H1985" s="338">
        <f t="shared" si="200"/>
        <v>448</v>
      </c>
      <c r="I1985" s="338">
        <v>16</v>
      </c>
      <c r="J1985" s="338"/>
      <c r="K1985" s="338"/>
      <c r="L1985" s="344" t="str">
        <f t="shared" si="199"/>
        <v>扩展帧CAN消息</v>
      </c>
      <c r="M1985" s="354"/>
    </row>
    <row r="1986" ht="15.6" spans="1:13">
      <c r="A1986" s="338"/>
      <c r="B1986" s="338"/>
      <c r="C1986" s="338"/>
      <c r="D1986" s="338"/>
      <c r="E1986" s="338"/>
      <c r="F1986" s="70"/>
      <c r="G1986" s="343" t="s">
        <v>1168</v>
      </c>
      <c r="H1986" s="338">
        <f t="shared" si="200"/>
        <v>464</v>
      </c>
      <c r="I1986" s="338">
        <v>16</v>
      </c>
      <c r="J1986" s="338"/>
      <c r="K1986" s="338"/>
      <c r="L1986" s="344" t="str">
        <f t="shared" si="199"/>
        <v>扩展帧CAN消息</v>
      </c>
      <c r="M1986" s="354"/>
    </row>
    <row r="1987" ht="15.6" spans="1:13">
      <c r="A1987" s="338"/>
      <c r="B1987" s="338"/>
      <c r="C1987" s="338"/>
      <c r="D1987" s="338"/>
      <c r="E1987" s="338"/>
      <c r="F1987" s="70"/>
      <c r="G1987" s="345" t="s">
        <v>88</v>
      </c>
      <c r="H1987" s="338">
        <f t="shared" si="200"/>
        <v>480</v>
      </c>
      <c r="I1987" s="338">
        <v>4</v>
      </c>
      <c r="J1987" s="338"/>
      <c r="K1987" s="338"/>
      <c r="L1987" s="340" t="str">
        <f t="shared" si="199"/>
        <v/>
      </c>
      <c r="M1987" s="354"/>
    </row>
    <row r="1988" ht="15.6" spans="1:13">
      <c r="A1988" s="338"/>
      <c r="B1988" s="338"/>
      <c r="C1988" s="338"/>
      <c r="D1988" s="338"/>
      <c r="E1988" s="338"/>
      <c r="F1988" s="70"/>
      <c r="G1988" s="343" t="s">
        <v>1169</v>
      </c>
      <c r="H1988" s="338">
        <f t="shared" si="200"/>
        <v>484</v>
      </c>
      <c r="I1988" s="338">
        <v>16</v>
      </c>
      <c r="J1988" s="338"/>
      <c r="K1988" s="338"/>
      <c r="L1988" s="344" t="str">
        <f t="shared" si="199"/>
        <v>扩展帧CAN消息</v>
      </c>
      <c r="M1988" s="354"/>
    </row>
    <row r="1989" ht="15.6" spans="1:13">
      <c r="A1989" s="338"/>
      <c r="B1989" s="338"/>
      <c r="C1989" s="338"/>
      <c r="D1989" s="338"/>
      <c r="E1989" s="338"/>
      <c r="F1989" s="70"/>
      <c r="G1989" s="343" t="s">
        <v>1170</v>
      </c>
      <c r="H1989" s="338">
        <f t="shared" si="200"/>
        <v>500</v>
      </c>
      <c r="I1989" s="338">
        <v>16</v>
      </c>
      <c r="J1989" s="338"/>
      <c r="K1989" s="338"/>
      <c r="L1989" s="344" t="str">
        <f t="shared" si="199"/>
        <v>扩展帧CAN消息</v>
      </c>
      <c r="M1989" s="354"/>
    </row>
    <row r="1990" ht="15.6" spans="1:13">
      <c r="A1990" s="338"/>
      <c r="B1990" s="338"/>
      <c r="C1990" s="338"/>
      <c r="D1990" s="338"/>
      <c r="E1990" s="338"/>
      <c r="F1990" s="70"/>
      <c r="G1990" s="343" t="s">
        <v>1171</v>
      </c>
      <c r="H1990" s="338">
        <f t="shared" si="200"/>
        <v>516</v>
      </c>
      <c r="I1990" s="338">
        <v>16</v>
      </c>
      <c r="J1990" s="338"/>
      <c r="K1990" s="338"/>
      <c r="L1990" s="344" t="str">
        <f t="shared" si="199"/>
        <v>扩展帧CAN消息</v>
      </c>
      <c r="M1990" s="354"/>
    </row>
    <row r="1991" ht="15.6" spans="1:13">
      <c r="A1991" s="338"/>
      <c r="B1991" s="338"/>
      <c r="C1991" s="338"/>
      <c r="D1991" s="338"/>
      <c r="E1991" s="338"/>
      <c r="F1991" s="70"/>
      <c r="G1991" s="343" t="s">
        <v>1172</v>
      </c>
      <c r="H1991" s="338">
        <f t="shared" si="200"/>
        <v>532</v>
      </c>
      <c r="I1991" s="338">
        <v>16</v>
      </c>
      <c r="J1991" s="338"/>
      <c r="K1991" s="338"/>
      <c r="L1991" s="344" t="str">
        <f t="shared" si="199"/>
        <v>扩展帧CAN消息</v>
      </c>
      <c r="M1991" s="354"/>
    </row>
    <row r="1992" ht="15.6" spans="1:13">
      <c r="A1992" s="338"/>
      <c r="B1992" s="338"/>
      <c r="C1992" s="338"/>
      <c r="D1992" s="338"/>
      <c r="E1992" s="338"/>
      <c r="F1992" s="70"/>
      <c r="G1992" s="345" t="s">
        <v>88</v>
      </c>
      <c r="H1992" s="338">
        <f t="shared" si="200"/>
        <v>548</v>
      </c>
      <c r="I1992" s="338">
        <v>4</v>
      </c>
      <c r="J1992" s="338"/>
      <c r="K1992" s="338"/>
      <c r="L1992" s="340" t="str">
        <f t="shared" si="199"/>
        <v/>
      </c>
      <c r="M1992" s="354"/>
    </row>
    <row r="1993" ht="15.6" spans="1:13">
      <c r="A1993" s="338"/>
      <c r="B1993" s="338"/>
      <c r="C1993" s="338"/>
      <c r="D1993" s="338"/>
      <c r="E1993" s="338"/>
      <c r="F1993" s="70"/>
      <c r="G1993" s="343" t="s">
        <v>1173</v>
      </c>
      <c r="H1993" s="338">
        <f t="shared" si="200"/>
        <v>552</v>
      </c>
      <c r="I1993" s="338">
        <v>16</v>
      </c>
      <c r="J1993" s="338"/>
      <c r="K1993" s="338"/>
      <c r="L1993" s="344" t="str">
        <f t="shared" si="199"/>
        <v>扩展帧CAN消息</v>
      </c>
      <c r="M1993" s="354"/>
    </row>
    <row r="1994" ht="15.6" spans="1:13">
      <c r="A1994" s="338"/>
      <c r="B1994" s="338"/>
      <c r="C1994" s="338"/>
      <c r="D1994" s="338"/>
      <c r="E1994" s="338"/>
      <c r="F1994" s="70"/>
      <c r="G1994" s="343" t="s">
        <v>1174</v>
      </c>
      <c r="H1994" s="338">
        <f t="shared" si="200"/>
        <v>568</v>
      </c>
      <c r="I1994" s="338">
        <v>16</v>
      </c>
      <c r="J1994" s="338"/>
      <c r="K1994" s="338"/>
      <c r="L1994" s="344" t="str">
        <f t="shared" si="199"/>
        <v>扩展帧CAN消息</v>
      </c>
      <c r="M1994" s="354"/>
    </row>
    <row r="1995" ht="15.6" spans="1:13">
      <c r="A1995" s="338"/>
      <c r="B1995" s="338"/>
      <c r="C1995" s="338"/>
      <c r="D1995" s="338"/>
      <c r="E1995" s="338"/>
      <c r="F1995" s="70"/>
      <c r="G1995" s="343" t="s">
        <v>1175</v>
      </c>
      <c r="H1995" s="338">
        <f t="shared" si="200"/>
        <v>584</v>
      </c>
      <c r="I1995" s="338">
        <v>16</v>
      </c>
      <c r="J1995" s="338"/>
      <c r="K1995" s="338"/>
      <c r="L1995" s="344" t="str">
        <f t="shared" si="199"/>
        <v>扩展帧CAN消息</v>
      </c>
      <c r="M1995" s="354"/>
    </row>
    <row r="1996" ht="15.6" spans="1:13">
      <c r="A1996" s="338"/>
      <c r="B1996" s="338"/>
      <c r="C1996" s="338"/>
      <c r="D1996" s="338"/>
      <c r="E1996" s="338"/>
      <c r="F1996" s="70"/>
      <c r="G1996" s="343" t="s">
        <v>1176</v>
      </c>
      <c r="H1996" s="338">
        <f t="shared" si="200"/>
        <v>600</v>
      </c>
      <c r="I1996" s="338">
        <v>16</v>
      </c>
      <c r="J1996" s="338"/>
      <c r="K1996" s="338"/>
      <c r="L1996" s="344" t="str">
        <f t="shared" si="199"/>
        <v>扩展帧CAN消息</v>
      </c>
      <c r="M1996" s="354"/>
    </row>
    <row r="1997" ht="15.6" spans="1:13">
      <c r="A1997" s="338"/>
      <c r="B1997" s="338"/>
      <c r="C1997" s="338"/>
      <c r="D1997" s="338"/>
      <c r="E1997" s="338"/>
      <c r="F1997" s="70"/>
      <c r="G1997" s="345" t="s">
        <v>88</v>
      </c>
      <c r="H1997" s="338">
        <f t="shared" si="200"/>
        <v>616</v>
      </c>
      <c r="I1997" s="338">
        <v>4</v>
      </c>
      <c r="J1997" s="338"/>
      <c r="K1997" s="338"/>
      <c r="L1997" s="340" t="str">
        <f t="shared" si="199"/>
        <v/>
      </c>
      <c r="M1997" s="354"/>
    </row>
    <row r="1998" ht="15.6" spans="1:13">
      <c r="A1998" s="338"/>
      <c r="B1998" s="338"/>
      <c r="C1998" s="338"/>
      <c r="D1998" s="338"/>
      <c r="E1998" s="338"/>
      <c r="F1998" s="70"/>
      <c r="G1998" s="343" t="s">
        <v>1177</v>
      </c>
      <c r="H1998" s="338">
        <f t="shared" si="200"/>
        <v>620</v>
      </c>
      <c r="I1998" s="338">
        <v>16</v>
      </c>
      <c r="J1998" s="338"/>
      <c r="K1998" s="338"/>
      <c r="L1998" s="344" t="str">
        <f t="shared" si="199"/>
        <v>扩展帧CAN消息</v>
      </c>
      <c r="M1998" s="354"/>
    </row>
    <row r="1999" ht="15.6" spans="1:13">
      <c r="A1999" s="338"/>
      <c r="B1999" s="338"/>
      <c r="C1999" s="338"/>
      <c r="D1999" s="338"/>
      <c r="E1999" s="338"/>
      <c r="F1999" s="70"/>
      <c r="G1999" s="343" t="s">
        <v>1178</v>
      </c>
      <c r="H1999" s="338">
        <f t="shared" si="200"/>
        <v>636</v>
      </c>
      <c r="I1999" s="338">
        <v>16</v>
      </c>
      <c r="J1999" s="338"/>
      <c r="K1999" s="338"/>
      <c r="L1999" s="344" t="str">
        <f t="shared" si="199"/>
        <v>扩展帧CAN消息</v>
      </c>
      <c r="M1999" s="354"/>
    </row>
    <row r="2000" ht="15.6" spans="1:13">
      <c r="A2000" s="338"/>
      <c r="B2000" s="338"/>
      <c r="C2000" s="338"/>
      <c r="D2000" s="338"/>
      <c r="E2000" s="338"/>
      <c r="F2000" s="70"/>
      <c r="G2000" s="343" t="s">
        <v>1179</v>
      </c>
      <c r="H2000" s="338">
        <f t="shared" si="200"/>
        <v>652</v>
      </c>
      <c r="I2000" s="338">
        <v>16</v>
      </c>
      <c r="J2000" s="338"/>
      <c r="K2000" s="338"/>
      <c r="L2000" s="344" t="str">
        <f t="shared" si="199"/>
        <v>扩展帧CAN消息</v>
      </c>
      <c r="M2000" s="354"/>
    </row>
    <row r="2001" ht="15.6" spans="1:13">
      <c r="A2001" s="338"/>
      <c r="B2001" s="338"/>
      <c r="C2001" s="338"/>
      <c r="D2001" s="338"/>
      <c r="E2001" s="338"/>
      <c r="F2001" s="70"/>
      <c r="G2001" s="343" t="s">
        <v>1180</v>
      </c>
      <c r="H2001" s="338">
        <f t="shared" si="200"/>
        <v>668</v>
      </c>
      <c r="I2001" s="338">
        <v>16</v>
      </c>
      <c r="J2001" s="338"/>
      <c r="K2001" s="338"/>
      <c r="L2001" s="344" t="str">
        <f t="shared" si="199"/>
        <v>扩展帧CAN消息</v>
      </c>
      <c r="M2001" s="354"/>
    </row>
    <row r="2002" ht="15.6" spans="1:13">
      <c r="A2002" s="338"/>
      <c r="B2002" s="338"/>
      <c r="C2002" s="338"/>
      <c r="D2002" s="338"/>
      <c r="E2002" s="338"/>
      <c r="F2002" s="70"/>
      <c r="G2002" s="345" t="s">
        <v>88</v>
      </c>
      <c r="H2002" s="338">
        <f t="shared" si="200"/>
        <v>684</v>
      </c>
      <c r="I2002" s="338">
        <v>4</v>
      </c>
      <c r="J2002" s="338"/>
      <c r="K2002" s="338"/>
      <c r="L2002" s="340" t="str">
        <f t="shared" si="199"/>
        <v/>
      </c>
      <c r="M2002" s="354"/>
    </row>
    <row r="2003" ht="15.6" spans="1:13">
      <c r="A2003" s="338"/>
      <c r="B2003" s="338"/>
      <c r="C2003" s="338"/>
      <c r="D2003" s="338"/>
      <c r="E2003" s="338"/>
      <c r="F2003" s="70"/>
      <c r="G2003" s="343" t="s">
        <v>1181</v>
      </c>
      <c r="H2003" s="338">
        <f t="shared" si="200"/>
        <v>688</v>
      </c>
      <c r="I2003" s="338">
        <v>16</v>
      </c>
      <c r="J2003" s="338"/>
      <c r="K2003" s="338"/>
      <c r="L2003" s="344" t="str">
        <f t="shared" si="199"/>
        <v>扩展帧CAN消息</v>
      </c>
      <c r="M2003" s="354"/>
    </row>
    <row r="2004" ht="15.6" spans="1:13">
      <c r="A2004" s="338"/>
      <c r="B2004" s="338"/>
      <c r="C2004" s="338"/>
      <c r="D2004" s="338"/>
      <c r="E2004" s="338"/>
      <c r="F2004" s="70"/>
      <c r="G2004" s="343" t="s">
        <v>1182</v>
      </c>
      <c r="H2004" s="338">
        <f t="shared" si="200"/>
        <v>704</v>
      </c>
      <c r="I2004" s="338">
        <v>16</v>
      </c>
      <c r="J2004" s="338"/>
      <c r="K2004" s="338"/>
      <c r="L2004" s="344" t="str">
        <f t="shared" si="199"/>
        <v>扩展帧CAN消息</v>
      </c>
      <c r="M2004" s="354"/>
    </row>
    <row r="2005" ht="15.6" spans="1:13">
      <c r="A2005" s="338"/>
      <c r="B2005" s="338"/>
      <c r="C2005" s="338"/>
      <c r="D2005" s="338"/>
      <c r="E2005" s="338"/>
      <c r="F2005" s="70"/>
      <c r="G2005" s="343" t="s">
        <v>1183</v>
      </c>
      <c r="H2005" s="338">
        <f t="shared" si="200"/>
        <v>720</v>
      </c>
      <c r="I2005" s="338">
        <v>16</v>
      </c>
      <c r="J2005" s="338"/>
      <c r="K2005" s="338"/>
      <c r="L2005" s="344" t="str">
        <f t="shared" si="199"/>
        <v>扩展帧CAN消息</v>
      </c>
      <c r="M2005" s="354"/>
    </row>
    <row r="2006" ht="15.6" spans="1:13">
      <c r="A2006" s="338"/>
      <c r="B2006" s="338"/>
      <c r="C2006" s="338"/>
      <c r="D2006" s="338"/>
      <c r="E2006" s="338"/>
      <c r="F2006" s="70"/>
      <c r="G2006" s="343" t="s">
        <v>1184</v>
      </c>
      <c r="H2006" s="338">
        <f t="shared" si="200"/>
        <v>736</v>
      </c>
      <c r="I2006" s="338">
        <v>16</v>
      </c>
      <c r="J2006" s="338"/>
      <c r="K2006" s="338"/>
      <c r="L2006" s="344" t="str">
        <f t="shared" si="199"/>
        <v>扩展帧CAN消息</v>
      </c>
      <c r="M2006" s="354"/>
    </row>
    <row r="2007" ht="15.6" spans="1:13">
      <c r="A2007" s="338"/>
      <c r="B2007" s="338"/>
      <c r="C2007" s="338"/>
      <c r="D2007" s="338"/>
      <c r="E2007" s="338"/>
      <c r="F2007" s="70"/>
      <c r="G2007" s="345" t="s">
        <v>88</v>
      </c>
      <c r="H2007" s="338">
        <f t="shared" si="200"/>
        <v>752</v>
      </c>
      <c r="I2007" s="338">
        <v>4</v>
      </c>
      <c r="J2007" s="338"/>
      <c r="K2007" s="338"/>
      <c r="L2007" s="340" t="str">
        <f t="shared" si="199"/>
        <v/>
      </c>
      <c r="M2007" s="354"/>
    </row>
    <row r="2008" ht="15.6" spans="1:13">
      <c r="A2008" s="338"/>
      <c r="B2008" s="338"/>
      <c r="C2008" s="338"/>
      <c r="D2008" s="338"/>
      <c r="E2008" s="338"/>
      <c r="F2008" s="70"/>
      <c r="G2008" s="343" t="s">
        <v>1185</v>
      </c>
      <c r="H2008" s="338">
        <f t="shared" si="200"/>
        <v>756</v>
      </c>
      <c r="I2008" s="338">
        <v>16</v>
      </c>
      <c r="J2008" s="338"/>
      <c r="K2008" s="338"/>
      <c r="L2008" s="344" t="str">
        <f t="shared" si="199"/>
        <v>扩展帧CAN消息</v>
      </c>
      <c r="M2008" s="354"/>
    </row>
    <row r="2009" ht="15.6" spans="1:13">
      <c r="A2009" s="338"/>
      <c r="B2009" s="338"/>
      <c r="C2009" s="338"/>
      <c r="D2009" s="338"/>
      <c r="E2009" s="338"/>
      <c r="F2009" s="70"/>
      <c r="G2009" s="343" t="s">
        <v>1186</v>
      </c>
      <c r="H2009" s="338">
        <f t="shared" si="200"/>
        <v>772</v>
      </c>
      <c r="I2009" s="338">
        <v>16</v>
      </c>
      <c r="J2009" s="338"/>
      <c r="K2009" s="338"/>
      <c r="L2009" s="344" t="str">
        <f t="shared" si="199"/>
        <v>扩展帧CAN消息</v>
      </c>
      <c r="M2009" s="354"/>
    </row>
    <row r="2010" ht="15.6" spans="1:13">
      <c r="A2010" s="338"/>
      <c r="B2010" s="338"/>
      <c r="C2010" s="338"/>
      <c r="D2010" s="338"/>
      <c r="E2010" s="338"/>
      <c r="F2010" s="70"/>
      <c r="G2010" s="343" t="s">
        <v>1187</v>
      </c>
      <c r="H2010" s="338">
        <f t="shared" si="200"/>
        <v>788</v>
      </c>
      <c r="I2010" s="338">
        <v>16</v>
      </c>
      <c r="J2010" s="338"/>
      <c r="K2010" s="338"/>
      <c r="L2010" s="344" t="str">
        <f t="shared" si="199"/>
        <v>扩展帧CAN消息</v>
      </c>
      <c r="M2010" s="354"/>
    </row>
    <row r="2011" ht="15.6" spans="1:13">
      <c r="A2011" s="338"/>
      <c r="B2011" s="338"/>
      <c r="C2011" s="338"/>
      <c r="D2011" s="338"/>
      <c r="E2011" s="338"/>
      <c r="F2011" s="70"/>
      <c r="G2011" s="343" t="s">
        <v>1188</v>
      </c>
      <c r="H2011" s="338">
        <f t="shared" si="200"/>
        <v>804</v>
      </c>
      <c r="I2011" s="338">
        <v>16</v>
      </c>
      <c r="J2011" s="338"/>
      <c r="K2011" s="338"/>
      <c r="L2011" s="344" t="str">
        <f t="shared" si="199"/>
        <v>扩展帧CAN消息</v>
      </c>
      <c r="M2011" s="354"/>
    </row>
    <row r="2012" ht="15.6" spans="1:13">
      <c r="A2012" s="338"/>
      <c r="B2012" s="338"/>
      <c r="C2012" s="338"/>
      <c r="D2012" s="338"/>
      <c r="E2012" s="338"/>
      <c r="F2012" s="70"/>
      <c r="G2012" s="345" t="s">
        <v>88</v>
      </c>
      <c r="H2012" s="338">
        <f t="shared" si="200"/>
        <v>820</v>
      </c>
      <c r="I2012" s="338">
        <v>4</v>
      </c>
      <c r="J2012" s="338"/>
      <c r="K2012" s="338"/>
      <c r="L2012" s="340" t="str">
        <f t="shared" si="199"/>
        <v/>
      </c>
      <c r="M2012" s="354"/>
    </row>
    <row r="2013" ht="15.6" spans="1:13">
      <c r="A2013" s="338"/>
      <c r="B2013" s="338"/>
      <c r="C2013" s="338"/>
      <c r="D2013" s="338"/>
      <c r="E2013" s="338"/>
      <c r="F2013" s="70"/>
      <c r="G2013" s="343" t="s">
        <v>1189</v>
      </c>
      <c r="H2013" s="338">
        <f t="shared" si="200"/>
        <v>824</v>
      </c>
      <c r="I2013" s="338">
        <v>16</v>
      </c>
      <c r="J2013" s="338"/>
      <c r="K2013" s="338"/>
      <c r="L2013" s="344" t="str">
        <f t="shared" si="199"/>
        <v>扩展帧CAN消息</v>
      </c>
      <c r="M2013" s="354"/>
    </row>
    <row r="2014" ht="15.6" spans="1:13">
      <c r="A2014" s="338"/>
      <c r="B2014" s="338"/>
      <c r="C2014" s="338"/>
      <c r="D2014" s="338"/>
      <c r="E2014" s="338"/>
      <c r="F2014" s="70"/>
      <c r="G2014" s="343" t="s">
        <v>1190</v>
      </c>
      <c r="H2014" s="338">
        <f t="shared" si="200"/>
        <v>840</v>
      </c>
      <c r="I2014" s="338">
        <v>16</v>
      </c>
      <c r="J2014" s="338"/>
      <c r="K2014" s="338"/>
      <c r="L2014" s="344" t="str">
        <f t="shared" ref="L2014:L2031" si="201">IF(RIGHT(G2014,5)="FRAME","扩展帧CAN消息","")</f>
        <v>扩展帧CAN消息</v>
      </c>
      <c r="M2014" s="354"/>
    </row>
    <row r="2015" ht="15.6" spans="1:13">
      <c r="A2015" s="338"/>
      <c r="B2015" s="338"/>
      <c r="C2015" s="338"/>
      <c r="D2015" s="338"/>
      <c r="E2015" s="338"/>
      <c r="F2015" s="70"/>
      <c r="G2015" s="343" t="s">
        <v>1191</v>
      </c>
      <c r="H2015" s="338">
        <f t="shared" si="200"/>
        <v>856</v>
      </c>
      <c r="I2015" s="338">
        <v>16</v>
      </c>
      <c r="J2015" s="338"/>
      <c r="K2015" s="338"/>
      <c r="L2015" s="344" t="str">
        <f t="shared" si="201"/>
        <v>扩展帧CAN消息</v>
      </c>
      <c r="M2015" s="354"/>
    </row>
    <row r="2016" ht="15.6" spans="1:13">
      <c r="A2016" s="338"/>
      <c r="B2016" s="338"/>
      <c r="C2016" s="338"/>
      <c r="D2016" s="338"/>
      <c r="E2016" s="338"/>
      <c r="F2016" s="70"/>
      <c r="G2016" s="343" t="s">
        <v>1192</v>
      </c>
      <c r="H2016" s="338">
        <f t="shared" ref="H2016:H2033" si="202">H2015+I2015</f>
        <v>872</v>
      </c>
      <c r="I2016" s="338">
        <v>16</v>
      </c>
      <c r="J2016" s="338"/>
      <c r="K2016" s="338"/>
      <c r="L2016" s="344" t="str">
        <f t="shared" si="201"/>
        <v>扩展帧CAN消息</v>
      </c>
      <c r="M2016" s="354"/>
    </row>
    <row r="2017" ht="15.6" spans="1:13">
      <c r="A2017" s="338"/>
      <c r="B2017" s="338"/>
      <c r="C2017" s="338"/>
      <c r="D2017" s="338"/>
      <c r="E2017" s="338"/>
      <c r="F2017" s="70"/>
      <c r="G2017" s="345" t="s">
        <v>88</v>
      </c>
      <c r="H2017" s="338">
        <f t="shared" si="202"/>
        <v>888</v>
      </c>
      <c r="I2017" s="338">
        <v>4</v>
      </c>
      <c r="J2017" s="338"/>
      <c r="K2017" s="338"/>
      <c r="L2017" s="340" t="str">
        <f t="shared" si="201"/>
        <v/>
      </c>
      <c r="M2017" s="354"/>
    </row>
    <row r="2018" ht="15.6" spans="1:13">
      <c r="A2018" s="338"/>
      <c r="B2018" s="338"/>
      <c r="C2018" s="338"/>
      <c r="D2018" s="338"/>
      <c r="E2018" s="338"/>
      <c r="F2018" s="70"/>
      <c r="G2018" s="343" t="s">
        <v>1193</v>
      </c>
      <c r="H2018" s="338">
        <f t="shared" si="202"/>
        <v>892</v>
      </c>
      <c r="I2018" s="338">
        <v>16</v>
      </c>
      <c r="J2018" s="338"/>
      <c r="K2018" s="338"/>
      <c r="L2018" s="344" t="str">
        <f t="shared" si="201"/>
        <v>扩展帧CAN消息</v>
      </c>
      <c r="M2018" s="354"/>
    </row>
    <row r="2019" ht="15.6" spans="1:13">
      <c r="A2019" s="338"/>
      <c r="B2019" s="338"/>
      <c r="C2019" s="338"/>
      <c r="D2019" s="338"/>
      <c r="E2019" s="338"/>
      <c r="F2019" s="70"/>
      <c r="G2019" s="343" t="s">
        <v>1194</v>
      </c>
      <c r="H2019" s="338">
        <f t="shared" si="202"/>
        <v>908</v>
      </c>
      <c r="I2019" s="338">
        <v>16</v>
      </c>
      <c r="J2019" s="338"/>
      <c r="K2019" s="338"/>
      <c r="L2019" s="344" t="str">
        <f t="shared" si="201"/>
        <v>扩展帧CAN消息</v>
      </c>
      <c r="M2019" s="354"/>
    </row>
    <row r="2020" ht="15.6" spans="1:13">
      <c r="A2020" s="338"/>
      <c r="B2020" s="338"/>
      <c r="C2020" s="338"/>
      <c r="D2020" s="338"/>
      <c r="E2020" s="338"/>
      <c r="F2020" s="70"/>
      <c r="G2020" s="343" t="s">
        <v>1195</v>
      </c>
      <c r="H2020" s="338">
        <f t="shared" si="202"/>
        <v>924</v>
      </c>
      <c r="I2020" s="338">
        <v>16</v>
      </c>
      <c r="J2020" s="338"/>
      <c r="K2020" s="338"/>
      <c r="L2020" s="344" t="str">
        <f t="shared" si="201"/>
        <v>扩展帧CAN消息</v>
      </c>
      <c r="M2020" s="354"/>
    </row>
    <row r="2021" ht="15.6" spans="1:13">
      <c r="A2021" s="338"/>
      <c r="B2021" s="338"/>
      <c r="C2021" s="338"/>
      <c r="D2021" s="338"/>
      <c r="E2021" s="338"/>
      <c r="F2021" s="70"/>
      <c r="G2021" s="343" t="s">
        <v>1196</v>
      </c>
      <c r="H2021" s="338">
        <f t="shared" si="202"/>
        <v>940</v>
      </c>
      <c r="I2021" s="338">
        <v>16</v>
      </c>
      <c r="J2021" s="338"/>
      <c r="K2021" s="338"/>
      <c r="L2021" s="344" t="str">
        <f t="shared" si="201"/>
        <v>扩展帧CAN消息</v>
      </c>
      <c r="M2021" s="354"/>
    </row>
    <row r="2022" ht="15.6" spans="1:13">
      <c r="A2022" s="338"/>
      <c r="B2022" s="338"/>
      <c r="C2022" s="338"/>
      <c r="D2022" s="338"/>
      <c r="E2022" s="338"/>
      <c r="F2022" s="70"/>
      <c r="G2022" s="345" t="s">
        <v>88</v>
      </c>
      <c r="H2022" s="338">
        <f t="shared" si="202"/>
        <v>956</v>
      </c>
      <c r="I2022" s="338">
        <v>4</v>
      </c>
      <c r="J2022" s="338"/>
      <c r="K2022" s="338"/>
      <c r="L2022" s="340" t="str">
        <f t="shared" si="201"/>
        <v/>
      </c>
      <c r="M2022" s="354"/>
    </row>
    <row r="2023" ht="15.6" spans="1:13">
      <c r="A2023" s="338"/>
      <c r="B2023" s="338"/>
      <c r="C2023" s="338"/>
      <c r="D2023" s="338"/>
      <c r="E2023" s="338"/>
      <c r="F2023" s="70"/>
      <c r="G2023" s="343" t="s">
        <v>1197</v>
      </c>
      <c r="H2023" s="338">
        <f t="shared" si="202"/>
        <v>960</v>
      </c>
      <c r="I2023" s="338">
        <v>16</v>
      </c>
      <c r="J2023" s="338"/>
      <c r="K2023" s="338"/>
      <c r="L2023" s="344" t="str">
        <f t="shared" si="201"/>
        <v>扩展帧CAN消息</v>
      </c>
      <c r="M2023" s="354"/>
    </row>
    <row r="2024" ht="15.6" spans="1:13">
      <c r="A2024" s="338"/>
      <c r="B2024" s="338"/>
      <c r="C2024" s="338"/>
      <c r="D2024" s="338"/>
      <c r="E2024" s="338"/>
      <c r="F2024" s="70"/>
      <c r="G2024" s="343" t="s">
        <v>1198</v>
      </c>
      <c r="H2024" s="338">
        <f t="shared" si="202"/>
        <v>976</v>
      </c>
      <c r="I2024" s="338">
        <v>16</v>
      </c>
      <c r="J2024" s="338"/>
      <c r="K2024" s="338"/>
      <c r="L2024" s="344" t="str">
        <f t="shared" si="201"/>
        <v>扩展帧CAN消息</v>
      </c>
      <c r="M2024" s="354"/>
    </row>
    <row r="2025" ht="15.6" spans="1:13">
      <c r="A2025" s="338"/>
      <c r="B2025" s="338"/>
      <c r="C2025" s="338"/>
      <c r="D2025" s="338"/>
      <c r="E2025" s="338"/>
      <c r="F2025" s="70"/>
      <c r="G2025" s="343" t="s">
        <v>1199</v>
      </c>
      <c r="H2025" s="338">
        <f t="shared" si="202"/>
        <v>992</v>
      </c>
      <c r="I2025" s="338">
        <v>16</v>
      </c>
      <c r="J2025" s="338"/>
      <c r="K2025" s="338"/>
      <c r="L2025" s="344" t="str">
        <f t="shared" si="201"/>
        <v>扩展帧CAN消息</v>
      </c>
      <c r="M2025" s="354"/>
    </row>
    <row r="2026" ht="15.6" spans="1:13">
      <c r="A2026" s="338"/>
      <c r="B2026" s="338"/>
      <c r="C2026" s="338"/>
      <c r="D2026" s="338"/>
      <c r="E2026" s="338"/>
      <c r="F2026" s="70"/>
      <c r="G2026" s="343" t="s">
        <v>1200</v>
      </c>
      <c r="H2026" s="338">
        <f t="shared" si="202"/>
        <v>1008</v>
      </c>
      <c r="I2026" s="338">
        <v>16</v>
      </c>
      <c r="J2026" s="338"/>
      <c r="K2026" s="338"/>
      <c r="L2026" s="344" t="str">
        <f t="shared" si="201"/>
        <v>扩展帧CAN消息</v>
      </c>
      <c r="M2026" s="354"/>
    </row>
    <row r="2027" ht="15.6" spans="1:13">
      <c r="A2027" s="338"/>
      <c r="B2027" s="338"/>
      <c r="C2027" s="338"/>
      <c r="D2027" s="338"/>
      <c r="E2027" s="338"/>
      <c r="F2027" s="70"/>
      <c r="G2027" s="345" t="s">
        <v>88</v>
      </c>
      <c r="H2027" s="338">
        <f t="shared" si="202"/>
        <v>1024</v>
      </c>
      <c r="I2027" s="338">
        <v>4</v>
      </c>
      <c r="J2027" s="338"/>
      <c r="K2027" s="338"/>
      <c r="L2027" s="340" t="str">
        <f t="shared" si="201"/>
        <v/>
      </c>
      <c r="M2027" s="354"/>
    </row>
    <row r="2028" ht="15.6" spans="1:13">
      <c r="A2028" s="338"/>
      <c r="B2028" s="338"/>
      <c r="C2028" s="338"/>
      <c r="D2028" s="338"/>
      <c r="E2028" s="338"/>
      <c r="F2028" s="70"/>
      <c r="G2028" s="343" t="s">
        <v>1201</v>
      </c>
      <c r="H2028" s="338">
        <f t="shared" si="202"/>
        <v>1028</v>
      </c>
      <c r="I2028" s="338">
        <v>16</v>
      </c>
      <c r="J2028" s="338"/>
      <c r="K2028" s="338"/>
      <c r="L2028" s="344" t="str">
        <f t="shared" si="201"/>
        <v>扩展帧CAN消息</v>
      </c>
      <c r="M2028" s="354"/>
    </row>
    <row r="2029" ht="15.6" spans="1:13">
      <c r="A2029" s="338"/>
      <c r="B2029" s="338"/>
      <c r="C2029" s="338"/>
      <c r="D2029" s="338"/>
      <c r="E2029" s="338"/>
      <c r="F2029" s="70"/>
      <c r="G2029" s="343" t="s">
        <v>1202</v>
      </c>
      <c r="H2029" s="338">
        <f t="shared" si="202"/>
        <v>1044</v>
      </c>
      <c r="I2029" s="338">
        <v>16</v>
      </c>
      <c r="J2029" s="338"/>
      <c r="K2029" s="338"/>
      <c r="L2029" s="344" t="str">
        <f t="shared" si="201"/>
        <v>扩展帧CAN消息</v>
      </c>
      <c r="M2029" s="354"/>
    </row>
    <row r="2030" ht="15.6" spans="1:13">
      <c r="A2030" s="338"/>
      <c r="B2030" s="338"/>
      <c r="C2030" s="338"/>
      <c r="D2030" s="338"/>
      <c r="E2030" s="338"/>
      <c r="F2030" s="70"/>
      <c r="G2030" s="343" t="s">
        <v>1203</v>
      </c>
      <c r="H2030" s="338">
        <f t="shared" si="202"/>
        <v>1060</v>
      </c>
      <c r="I2030" s="338">
        <v>16</v>
      </c>
      <c r="J2030" s="338"/>
      <c r="K2030" s="338"/>
      <c r="L2030" s="344" t="str">
        <f t="shared" si="201"/>
        <v>扩展帧CAN消息</v>
      </c>
      <c r="M2030" s="354"/>
    </row>
    <row r="2031" ht="15.6" spans="1:13">
      <c r="A2031" s="338"/>
      <c r="B2031" s="338"/>
      <c r="C2031" s="338"/>
      <c r="D2031" s="338"/>
      <c r="E2031" s="338"/>
      <c r="F2031" s="70"/>
      <c r="G2031" s="343" t="s">
        <v>1204</v>
      </c>
      <c r="H2031" s="338">
        <f t="shared" si="202"/>
        <v>1076</v>
      </c>
      <c r="I2031" s="338">
        <v>16</v>
      </c>
      <c r="J2031" s="338"/>
      <c r="K2031" s="338"/>
      <c r="L2031" s="344" t="str">
        <f t="shared" si="201"/>
        <v>扩展帧CAN消息</v>
      </c>
      <c r="M2031" s="354"/>
    </row>
    <row r="2032" ht="15.6" spans="1:13">
      <c r="A2032" s="338"/>
      <c r="B2032" s="338"/>
      <c r="C2032" s="338"/>
      <c r="D2032" s="338"/>
      <c r="E2032" s="338"/>
      <c r="F2032" s="70"/>
      <c r="G2032" s="345" t="s">
        <v>88</v>
      </c>
      <c r="H2032" s="338">
        <f t="shared" si="202"/>
        <v>1092</v>
      </c>
      <c r="I2032" s="338">
        <v>4</v>
      </c>
      <c r="J2032" s="338"/>
      <c r="K2032" s="338"/>
      <c r="L2032" s="346"/>
      <c r="M2032" s="354"/>
    </row>
    <row r="2033" ht="15.6" spans="1:13">
      <c r="A2033" s="338"/>
      <c r="B2033" s="338"/>
      <c r="C2033" s="338"/>
      <c r="D2033" s="338"/>
      <c r="E2033" s="338"/>
      <c r="F2033" s="70"/>
      <c r="G2033" s="343" t="s">
        <v>1205</v>
      </c>
      <c r="H2033" s="338">
        <f t="shared" ref="H2033:H2035" si="203">H2032+I2032</f>
        <v>1096</v>
      </c>
      <c r="I2033" s="338">
        <v>16</v>
      </c>
      <c r="J2033" s="338"/>
      <c r="K2033" s="338"/>
      <c r="L2033" s="344" t="str">
        <f>IF(RIGHT(G2033,5)="FRAME","扩展帧CAN消息","")</f>
        <v>扩展帧CAN消息</v>
      </c>
      <c r="M2033" s="354"/>
    </row>
    <row r="2034" ht="15.6" spans="1:13">
      <c r="A2034" s="338"/>
      <c r="B2034" s="338"/>
      <c r="C2034" s="338"/>
      <c r="D2034" s="338"/>
      <c r="E2034" s="338"/>
      <c r="F2034" s="70"/>
      <c r="G2034" s="347" t="s">
        <v>1206</v>
      </c>
      <c r="H2034" s="348">
        <f t="shared" si="203"/>
        <v>1112</v>
      </c>
      <c r="I2034" s="348">
        <v>16</v>
      </c>
      <c r="J2034" s="338"/>
      <c r="K2034" s="338"/>
      <c r="L2034" s="344" t="str">
        <f>IF(RIGHT(G2034,5)="FRAME","扩展帧CAN消息","")</f>
        <v>扩展帧CAN消息</v>
      </c>
      <c r="M2034" s="354"/>
    </row>
    <row r="2035" ht="15.6" spans="1:13">
      <c r="A2035" s="338"/>
      <c r="B2035" s="338"/>
      <c r="C2035" s="338"/>
      <c r="D2035" s="338"/>
      <c r="E2035" s="338"/>
      <c r="F2035" s="70"/>
      <c r="G2035" s="347" t="s">
        <v>1207</v>
      </c>
      <c r="H2035" s="348">
        <f t="shared" si="203"/>
        <v>1128</v>
      </c>
      <c r="I2035" s="348">
        <v>16</v>
      </c>
      <c r="J2035" s="338"/>
      <c r="K2035" s="338"/>
      <c r="L2035" s="344" t="str">
        <f>IF(RIGHT(G2033,5)="FRAME","扩展帧CAN消息","")</f>
        <v>扩展帧CAN消息</v>
      </c>
      <c r="M2035" s="355"/>
    </row>
    <row r="2036" spans="1:13">
      <c r="A2036" s="70" t="s">
        <v>1208</v>
      </c>
      <c r="B2036" s="70" t="s">
        <v>1209</v>
      </c>
      <c r="C2036" s="70" t="s">
        <v>1140</v>
      </c>
      <c r="D2036" s="70" t="s">
        <v>133</v>
      </c>
      <c r="E2036" s="70">
        <v>7053</v>
      </c>
      <c r="F2036" s="70" t="s">
        <v>17</v>
      </c>
      <c r="G2036" s="339" t="s">
        <v>87</v>
      </c>
      <c r="H2036" s="338">
        <v>0</v>
      </c>
      <c r="I2036" s="338">
        <v>4</v>
      </c>
      <c r="J2036" s="338" t="s">
        <v>119</v>
      </c>
      <c r="K2036" s="338">
        <v>400</v>
      </c>
      <c r="L2036" s="312" t="str">
        <f t="shared" ref="L2035:L2098" si="204">IF(RIGHT(G2036,5)="FRAME","扩展帧CAN消息","")</f>
        <v/>
      </c>
      <c r="M2036" s="71">
        <v>1602202</v>
      </c>
    </row>
    <row r="2037" spans="1:13">
      <c r="A2037" s="70"/>
      <c r="B2037" s="70"/>
      <c r="C2037" s="70"/>
      <c r="D2037" s="70"/>
      <c r="E2037" s="70"/>
      <c r="F2037" s="70"/>
      <c r="G2037" s="339" t="s">
        <v>88</v>
      </c>
      <c r="H2037" s="338">
        <f t="shared" ref="H2037:H2100" si="205">H2036+I2036</f>
        <v>4</v>
      </c>
      <c r="I2037" s="338">
        <v>4</v>
      </c>
      <c r="J2037" s="338"/>
      <c r="K2037" s="338"/>
      <c r="L2037" s="312" t="str">
        <f t="shared" si="204"/>
        <v/>
      </c>
      <c r="M2037" s="73"/>
    </row>
    <row r="2038" ht="15.6" spans="1:13">
      <c r="A2038" s="70"/>
      <c r="B2038" s="70"/>
      <c r="C2038" s="70"/>
      <c r="D2038" s="70"/>
      <c r="E2038" s="70"/>
      <c r="F2038" s="70"/>
      <c r="G2038" s="343" t="s">
        <v>1141</v>
      </c>
      <c r="H2038" s="338">
        <f t="shared" si="205"/>
        <v>8</v>
      </c>
      <c r="I2038" s="338">
        <v>16</v>
      </c>
      <c r="J2038" s="338"/>
      <c r="K2038" s="338"/>
      <c r="L2038" s="314" t="str">
        <f t="shared" si="204"/>
        <v>扩展帧CAN消息</v>
      </c>
      <c r="M2038" s="73"/>
    </row>
    <row r="2039" ht="15.6" spans="1:13">
      <c r="A2039" s="70"/>
      <c r="B2039" s="70"/>
      <c r="C2039" s="70"/>
      <c r="D2039" s="70"/>
      <c r="E2039" s="70"/>
      <c r="F2039" s="70"/>
      <c r="G2039" s="343" t="s">
        <v>1142</v>
      </c>
      <c r="H2039" s="338">
        <f t="shared" si="205"/>
        <v>24</v>
      </c>
      <c r="I2039" s="338">
        <v>16</v>
      </c>
      <c r="J2039" s="338"/>
      <c r="K2039" s="338"/>
      <c r="L2039" s="314" t="str">
        <f t="shared" si="204"/>
        <v>扩展帧CAN消息</v>
      </c>
      <c r="M2039" s="73"/>
    </row>
    <row r="2040" ht="15.6" spans="1:13">
      <c r="A2040" s="70"/>
      <c r="B2040" s="70"/>
      <c r="C2040" s="70"/>
      <c r="D2040" s="70"/>
      <c r="E2040" s="70"/>
      <c r="F2040" s="70"/>
      <c r="G2040" s="343" t="s">
        <v>1143</v>
      </c>
      <c r="H2040" s="338">
        <f t="shared" si="205"/>
        <v>40</v>
      </c>
      <c r="I2040" s="338">
        <v>16</v>
      </c>
      <c r="J2040" s="338"/>
      <c r="K2040" s="338"/>
      <c r="L2040" s="314" t="str">
        <f t="shared" si="204"/>
        <v>扩展帧CAN消息</v>
      </c>
      <c r="M2040" s="73"/>
    </row>
    <row r="2041" ht="15.6" spans="1:13">
      <c r="A2041" s="70"/>
      <c r="B2041" s="70"/>
      <c r="C2041" s="70"/>
      <c r="D2041" s="70"/>
      <c r="E2041" s="70"/>
      <c r="F2041" s="70"/>
      <c r="G2041" s="343" t="s">
        <v>1144</v>
      </c>
      <c r="H2041" s="338">
        <f t="shared" si="205"/>
        <v>56</v>
      </c>
      <c r="I2041" s="338">
        <v>16</v>
      </c>
      <c r="J2041" s="338"/>
      <c r="K2041" s="338"/>
      <c r="L2041" s="314" t="str">
        <f t="shared" si="204"/>
        <v>扩展帧CAN消息</v>
      </c>
      <c r="M2041" s="73"/>
    </row>
    <row r="2042" ht="15.6" spans="1:13">
      <c r="A2042" s="70"/>
      <c r="B2042" s="70"/>
      <c r="C2042" s="70"/>
      <c r="D2042" s="70"/>
      <c r="E2042" s="70"/>
      <c r="F2042" s="70"/>
      <c r="G2042" s="345" t="s">
        <v>88</v>
      </c>
      <c r="H2042" s="338">
        <f t="shared" si="205"/>
        <v>72</v>
      </c>
      <c r="I2042" s="338">
        <v>4</v>
      </c>
      <c r="J2042" s="338"/>
      <c r="K2042" s="338"/>
      <c r="L2042" s="312" t="str">
        <f t="shared" si="204"/>
        <v/>
      </c>
      <c r="M2042" s="73"/>
    </row>
    <row r="2043" ht="15.6" spans="1:13">
      <c r="A2043" s="70"/>
      <c r="B2043" s="70"/>
      <c r="C2043" s="70"/>
      <c r="D2043" s="70"/>
      <c r="E2043" s="70"/>
      <c r="F2043" s="70"/>
      <c r="G2043" s="343" t="s">
        <v>1145</v>
      </c>
      <c r="H2043" s="338">
        <f t="shared" si="205"/>
        <v>76</v>
      </c>
      <c r="I2043" s="338">
        <v>16</v>
      </c>
      <c r="J2043" s="338"/>
      <c r="K2043" s="338"/>
      <c r="L2043" s="314" t="str">
        <f t="shared" si="204"/>
        <v>扩展帧CAN消息</v>
      </c>
      <c r="M2043" s="73"/>
    </row>
    <row r="2044" ht="15.6" spans="1:13">
      <c r="A2044" s="70"/>
      <c r="B2044" s="70"/>
      <c r="C2044" s="70"/>
      <c r="D2044" s="70"/>
      <c r="E2044" s="70"/>
      <c r="F2044" s="70"/>
      <c r="G2044" s="343" t="s">
        <v>1146</v>
      </c>
      <c r="H2044" s="338">
        <f t="shared" si="205"/>
        <v>92</v>
      </c>
      <c r="I2044" s="338">
        <v>16</v>
      </c>
      <c r="J2044" s="338"/>
      <c r="K2044" s="338"/>
      <c r="L2044" s="314" t="str">
        <f t="shared" si="204"/>
        <v>扩展帧CAN消息</v>
      </c>
      <c r="M2044" s="73"/>
    </row>
    <row r="2045" ht="15.6" spans="1:13">
      <c r="A2045" s="70"/>
      <c r="B2045" s="70"/>
      <c r="C2045" s="70"/>
      <c r="D2045" s="70"/>
      <c r="E2045" s="70"/>
      <c r="F2045" s="70"/>
      <c r="G2045" s="343" t="s">
        <v>1147</v>
      </c>
      <c r="H2045" s="338">
        <f t="shared" si="205"/>
        <v>108</v>
      </c>
      <c r="I2045" s="338">
        <v>16</v>
      </c>
      <c r="J2045" s="338"/>
      <c r="K2045" s="338"/>
      <c r="L2045" s="314" t="str">
        <f t="shared" si="204"/>
        <v>扩展帧CAN消息</v>
      </c>
      <c r="M2045" s="73"/>
    </row>
    <row r="2046" ht="15.6" spans="1:13">
      <c r="A2046" s="70"/>
      <c r="B2046" s="70"/>
      <c r="C2046" s="70"/>
      <c r="D2046" s="70"/>
      <c r="E2046" s="70"/>
      <c r="F2046" s="70"/>
      <c r="G2046" s="343" t="s">
        <v>1148</v>
      </c>
      <c r="H2046" s="338">
        <f t="shared" si="205"/>
        <v>124</v>
      </c>
      <c r="I2046" s="338">
        <v>16</v>
      </c>
      <c r="J2046" s="338"/>
      <c r="K2046" s="338"/>
      <c r="L2046" s="314" t="str">
        <f t="shared" si="204"/>
        <v>扩展帧CAN消息</v>
      </c>
      <c r="M2046" s="73"/>
    </row>
    <row r="2047" ht="15.6" spans="1:13">
      <c r="A2047" s="70"/>
      <c r="B2047" s="70"/>
      <c r="C2047" s="70"/>
      <c r="D2047" s="70"/>
      <c r="E2047" s="70"/>
      <c r="F2047" s="70"/>
      <c r="G2047" s="345" t="s">
        <v>88</v>
      </c>
      <c r="H2047" s="338">
        <f t="shared" si="205"/>
        <v>140</v>
      </c>
      <c r="I2047" s="338">
        <v>4</v>
      </c>
      <c r="J2047" s="338"/>
      <c r="K2047" s="338"/>
      <c r="L2047" s="312" t="str">
        <f t="shared" si="204"/>
        <v/>
      </c>
      <c r="M2047" s="73"/>
    </row>
    <row r="2048" ht="15.6" spans="1:13">
      <c r="A2048" s="70"/>
      <c r="B2048" s="70"/>
      <c r="C2048" s="70"/>
      <c r="D2048" s="70"/>
      <c r="E2048" s="70"/>
      <c r="F2048" s="70"/>
      <c r="G2048" s="343" t="s">
        <v>1149</v>
      </c>
      <c r="H2048" s="338">
        <f t="shared" si="205"/>
        <v>144</v>
      </c>
      <c r="I2048" s="338">
        <v>16</v>
      </c>
      <c r="J2048" s="338"/>
      <c r="K2048" s="338"/>
      <c r="L2048" s="314" t="str">
        <f t="shared" si="204"/>
        <v>扩展帧CAN消息</v>
      </c>
      <c r="M2048" s="73"/>
    </row>
    <row r="2049" ht="15.6" spans="1:13">
      <c r="A2049" s="70"/>
      <c r="B2049" s="70"/>
      <c r="C2049" s="70"/>
      <c r="D2049" s="70"/>
      <c r="E2049" s="70"/>
      <c r="F2049" s="70"/>
      <c r="G2049" s="343" t="s">
        <v>1150</v>
      </c>
      <c r="H2049" s="338">
        <f t="shared" si="205"/>
        <v>160</v>
      </c>
      <c r="I2049" s="338">
        <v>16</v>
      </c>
      <c r="J2049" s="338"/>
      <c r="K2049" s="338"/>
      <c r="L2049" s="314" t="str">
        <f t="shared" si="204"/>
        <v>扩展帧CAN消息</v>
      </c>
      <c r="M2049" s="73"/>
    </row>
    <row r="2050" ht="15.6" spans="1:13">
      <c r="A2050" s="70"/>
      <c r="B2050" s="70"/>
      <c r="C2050" s="70"/>
      <c r="D2050" s="70"/>
      <c r="E2050" s="70"/>
      <c r="F2050" s="70"/>
      <c r="G2050" s="343" t="s">
        <v>1151</v>
      </c>
      <c r="H2050" s="338">
        <f t="shared" si="205"/>
        <v>176</v>
      </c>
      <c r="I2050" s="338">
        <v>16</v>
      </c>
      <c r="J2050" s="338"/>
      <c r="K2050" s="338"/>
      <c r="L2050" s="314" t="str">
        <f t="shared" si="204"/>
        <v>扩展帧CAN消息</v>
      </c>
      <c r="M2050" s="73"/>
    </row>
    <row r="2051" ht="15.6" spans="1:13">
      <c r="A2051" s="70"/>
      <c r="B2051" s="70"/>
      <c r="C2051" s="70"/>
      <c r="D2051" s="70"/>
      <c r="E2051" s="70"/>
      <c r="F2051" s="70"/>
      <c r="G2051" s="343" t="s">
        <v>1152</v>
      </c>
      <c r="H2051" s="338">
        <f t="shared" si="205"/>
        <v>192</v>
      </c>
      <c r="I2051" s="338">
        <v>16</v>
      </c>
      <c r="J2051" s="338"/>
      <c r="K2051" s="338"/>
      <c r="L2051" s="314" t="str">
        <f t="shared" si="204"/>
        <v>扩展帧CAN消息</v>
      </c>
      <c r="M2051" s="73"/>
    </row>
    <row r="2052" ht="15.6" spans="1:13">
      <c r="A2052" s="70"/>
      <c r="B2052" s="70"/>
      <c r="C2052" s="70"/>
      <c r="D2052" s="70"/>
      <c r="E2052" s="70"/>
      <c r="F2052" s="70"/>
      <c r="G2052" s="345" t="s">
        <v>88</v>
      </c>
      <c r="H2052" s="338">
        <f t="shared" si="205"/>
        <v>208</v>
      </c>
      <c r="I2052" s="338">
        <v>4</v>
      </c>
      <c r="J2052" s="338"/>
      <c r="K2052" s="338"/>
      <c r="L2052" s="312" t="str">
        <f t="shared" si="204"/>
        <v/>
      </c>
      <c r="M2052" s="73"/>
    </row>
    <row r="2053" ht="15.6" spans="1:13">
      <c r="A2053" s="70"/>
      <c r="B2053" s="70"/>
      <c r="C2053" s="70"/>
      <c r="D2053" s="70"/>
      <c r="E2053" s="70"/>
      <c r="F2053" s="70"/>
      <c r="G2053" s="343" t="s">
        <v>1153</v>
      </c>
      <c r="H2053" s="338">
        <f t="shared" si="205"/>
        <v>212</v>
      </c>
      <c r="I2053" s="338">
        <v>16</v>
      </c>
      <c r="J2053" s="338"/>
      <c r="K2053" s="338"/>
      <c r="L2053" s="314" t="str">
        <f t="shared" si="204"/>
        <v>扩展帧CAN消息</v>
      </c>
      <c r="M2053" s="73"/>
    </row>
    <row r="2054" ht="15.6" spans="1:13">
      <c r="A2054" s="70"/>
      <c r="B2054" s="70"/>
      <c r="C2054" s="70"/>
      <c r="D2054" s="70"/>
      <c r="E2054" s="70"/>
      <c r="F2054" s="70"/>
      <c r="G2054" s="343" t="s">
        <v>1154</v>
      </c>
      <c r="H2054" s="338">
        <f t="shared" si="205"/>
        <v>228</v>
      </c>
      <c r="I2054" s="338">
        <v>16</v>
      </c>
      <c r="J2054" s="338"/>
      <c r="K2054" s="338"/>
      <c r="L2054" s="314" t="str">
        <f t="shared" si="204"/>
        <v>扩展帧CAN消息</v>
      </c>
      <c r="M2054" s="73"/>
    </row>
    <row r="2055" ht="15.6" spans="1:13">
      <c r="A2055" s="70"/>
      <c r="B2055" s="70"/>
      <c r="C2055" s="70"/>
      <c r="D2055" s="70"/>
      <c r="E2055" s="70"/>
      <c r="F2055" s="70"/>
      <c r="G2055" s="343" t="s">
        <v>1155</v>
      </c>
      <c r="H2055" s="338">
        <f t="shared" si="205"/>
        <v>244</v>
      </c>
      <c r="I2055" s="338">
        <v>16</v>
      </c>
      <c r="J2055" s="338"/>
      <c r="K2055" s="338"/>
      <c r="L2055" s="314" t="str">
        <f t="shared" si="204"/>
        <v>扩展帧CAN消息</v>
      </c>
      <c r="M2055" s="73"/>
    </row>
    <row r="2056" ht="15.6" spans="1:13">
      <c r="A2056" s="70"/>
      <c r="B2056" s="70"/>
      <c r="C2056" s="70"/>
      <c r="D2056" s="70"/>
      <c r="E2056" s="70"/>
      <c r="F2056" s="70"/>
      <c r="G2056" s="343" t="s">
        <v>1156</v>
      </c>
      <c r="H2056" s="338">
        <f t="shared" si="205"/>
        <v>260</v>
      </c>
      <c r="I2056" s="338">
        <v>16</v>
      </c>
      <c r="J2056" s="338"/>
      <c r="K2056" s="338"/>
      <c r="L2056" s="314" t="str">
        <f t="shared" si="204"/>
        <v>扩展帧CAN消息</v>
      </c>
      <c r="M2056" s="73"/>
    </row>
    <row r="2057" ht="15.6" spans="1:13">
      <c r="A2057" s="70"/>
      <c r="B2057" s="70"/>
      <c r="C2057" s="70"/>
      <c r="D2057" s="70"/>
      <c r="E2057" s="70"/>
      <c r="F2057" s="70"/>
      <c r="G2057" s="345" t="s">
        <v>88</v>
      </c>
      <c r="H2057" s="338">
        <f t="shared" si="205"/>
        <v>276</v>
      </c>
      <c r="I2057" s="338">
        <v>4</v>
      </c>
      <c r="J2057" s="338"/>
      <c r="K2057" s="338"/>
      <c r="L2057" s="312" t="str">
        <f t="shared" si="204"/>
        <v/>
      </c>
      <c r="M2057" s="73"/>
    </row>
    <row r="2058" ht="15.6" spans="1:13">
      <c r="A2058" s="70"/>
      <c r="B2058" s="70"/>
      <c r="C2058" s="70"/>
      <c r="D2058" s="70"/>
      <c r="E2058" s="70"/>
      <c r="F2058" s="70"/>
      <c r="G2058" s="343" t="s">
        <v>1157</v>
      </c>
      <c r="H2058" s="338">
        <f t="shared" si="205"/>
        <v>280</v>
      </c>
      <c r="I2058" s="338">
        <v>16</v>
      </c>
      <c r="J2058" s="338"/>
      <c r="K2058" s="338"/>
      <c r="L2058" s="314" t="str">
        <f t="shared" si="204"/>
        <v>扩展帧CAN消息</v>
      </c>
      <c r="M2058" s="73"/>
    </row>
    <row r="2059" ht="15.6" spans="1:13">
      <c r="A2059" s="70"/>
      <c r="B2059" s="70"/>
      <c r="C2059" s="70"/>
      <c r="D2059" s="70"/>
      <c r="E2059" s="70"/>
      <c r="F2059" s="70"/>
      <c r="G2059" s="343" t="s">
        <v>1158</v>
      </c>
      <c r="H2059" s="338">
        <f t="shared" si="205"/>
        <v>296</v>
      </c>
      <c r="I2059" s="338">
        <v>16</v>
      </c>
      <c r="J2059" s="338"/>
      <c r="K2059" s="338"/>
      <c r="L2059" s="314" t="str">
        <f t="shared" si="204"/>
        <v>扩展帧CAN消息</v>
      </c>
      <c r="M2059" s="73"/>
    </row>
    <row r="2060" ht="15.6" spans="1:13">
      <c r="A2060" s="70"/>
      <c r="B2060" s="70"/>
      <c r="C2060" s="70"/>
      <c r="D2060" s="70"/>
      <c r="E2060" s="70"/>
      <c r="F2060" s="70"/>
      <c r="G2060" s="343" t="s">
        <v>1159</v>
      </c>
      <c r="H2060" s="338">
        <f t="shared" si="205"/>
        <v>312</v>
      </c>
      <c r="I2060" s="338">
        <v>16</v>
      </c>
      <c r="J2060" s="338"/>
      <c r="K2060" s="338"/>
      <c r="L2060" s="314" t="str">
        <f t="shared" si="204"/>
        <v>扩展帧CAN消息</v>
      </c>
      <c r="M2060" s="73"/>
    </row>
    <row r="2061" ht="15.6" spans="1:13">
      <c r="A2061" s="70"/>
      <c r="B2061" s="70"/>
      <c r="C2061" s="70"/>
      <c r="D2061" s="70"/>
      <c r="E2061" s="70"/>
      <c r="F2061" s="70"/>
      <c r="G2061" s="343" t="s">
        <v>1160</v>
      </c>
      <c r="H2061" s="338">
        <f t="shared" si="205"/>
        <v>328</v>
      </c>
      <c r="I2061" s="338">
        <v>16</v>
      </c>
      <c r="J2061" s="338"/>
      <c r="K2061" s="338"/>
      <c r="L2061" s="314" t="str">
        <f t="shared" si="204"/>
        <v>扩展帧CAN消息</v>
      </c>
      <c r="M2061" s="73"/>
    </row>
    <row r="2062" ht="15.6" spans="1:13">
      <c r="A2062" s="70"/>
      <c r="B2062" s="70"/>
      <c r="C2062" s="70"/>
      <c r="D2062" s="70"/>
      <c r="E2062" s="70"/>
      <c r="F2062" s="70"/>
      <c r="G2062" s="345" t="s">
        <v>88</v>
      </c>
      <c r="H2062" s="338">
        <f t="shared" si="205"/>
        <v>344</v>
      </c>
      <c r="I2062" s="338">
        <v>4</v>
      </c>
      <c r="J2062" s="338"/>
      <c r="K2062" s="338"/>
      <c r="L2062" s="312" t="str">
        <f t="shared" si="204"/>
        <v/>
      </c>
      <c r="M2062" s="73"/>
    </row>
    <row r="2063" ht="15.6" spans="1:13">
      <c r="A2063" s="70"/>
      <c r="B2063" s="70"/>
      <c r="C2063" s="70"/>
      <c r="D2063" s="70"/>
      <c r="E2063" s="70"/>
      <c r="F2063" s="70"/>
      <c r="G2063" s="343" t="s">
        <v>1161</v>
      </c>
      <c r="H2063" s="338">
        <f t="shared" si="205"/>
        <v>348</v>
      </c>
      <c r="I2063" s="338">
        <v>16</v>
      </c>
      <c r="J2063" s="338"/>
      <c r="K2063" s="338"/>
      <c r="L2063" s="314" t="str">
        <f t="shared" si="204"/>
        <v>扩展帧CAN消息</v>
      </c>
      <c r="M2063" s="73"/>
    </row>
    <row r="2064" ht="15.6" spans="1:13">
      <c r="A2064" s="70"/>
      <c r="B2064" s="70"/>
      <c r="C2064" s="70"/>
      <c r="D2064" s="70"/>
      <c r="E2064" s="70"/>
      <c r="F2064" s="70"/>
      <c r="G2064" s="343" t="s">
        <v>1162</v>
      </c>
      <c r="H2064" s="338">
        <f t="shared" si="205"/>
        <v>364</v>
      </c>
      <c r="I2064" s="338">
        <v>16</v>
      </c>
      <c r="J2064" s="338"/>
      <c r="K2064" s="338"/>
      <c r="L2064" s="314" t="str">
        <f t="shared" si="204"/>
        <v>扩展帧CAN消息</v>
      </c>
      <c r="M2064" s="73"/>
    </row>
    <row r="2065" ht="15.6" spans="1:13">
      <c r="A2065" s="70"/>
      <c r="B2065" s="70"/>
      <c r="C2065" s="70"/>
      <c r="D2065" s="70"/>
      <c r="E2065" s="70"/>
      <c r="F2065" s="70"/>
      <c r="G2065" s="343" t="s">
        <v>1163</v>
      </c>
      <c r="H2065" s="338">
        <f t="shared" si="205"/>
        <v>380</v>
      </c>
      <c r="I2065" s="338">
        <v>16</v>
      </c>
      <c r="J2065" s="338"/>
      <c r="K2065" s="338"/>
      <c r="L2065" s="314" t="str">
        <f t="shared" si="204"/>
        <v>扩展帧CAN消息</v>
      </c>
      <c r="M2065" s="73"/>
    </row>
    <row r="2066" ht="15.6" spans="1:13">
      <c r="A2066" s="70"/>
      <c r="B2066" s="70"/>
      <c r="C2066" s="70"/>
      <c r="D2066" s="70"/>
      <c r="E2066" s="70"/>
      <c r="F2066" s="70"/>
      <c r="G2066" s="343" t="s">
        <v>1164</v>
      </c>
      <c r="H2066" s="338">
        <f t="shared" si="205"/>
        <v>396</v>
      </c>
      <c r="I2066" s="338">
        <v>16</v>
      </c>
      <c r="J2066" s="338"/>
      <c r="K2066" s="338"/>
      <c r="L2066" s="314" t="str">
        <f t="shared" si="204"/>
        <v>扩展帧CAN消息</v>
      </c>
      <c r="M2066" s="73"/>
    </row>
    <row r="2067" ht="15.6" spans="1:13">
      <c r="A2067" s="70"/>
      <c r="B2067" s="70"/>
      <c r="C2067" s="70"/>
      <c r="D2067" s="70"/>
      <c r="E2067" s="70"/>
      <c r="F2067" s="70"/>
      <c r="G2067" s="345" t="s">
        <v>88</v>
      </c>
      <c r="H2067" s="338">
        <f t="shared" si="205"/>
        <v>412</v>
      </c>
      <c r="I2067" s="338">
        <v>4</v>
      </c>
      <c r="J2067" s="338"/>
      <c r="K2067" s="338"/>
      <c r="L2067" s="312" t="str">
        <f t="shared" si="204"/>
        <v/>
      </c>
      <c r="M2067" s="73"/>
    </row>
    <row r="2068" ht="15.6" spans="1:13">
      <c r="A2068" s="70"/>
      <c r="B2068" s="70"/>
      <c r="C2068" s="70"/>
      <c r="D2068" s="70"/>
      <c r="E2068" s="70"/>
      <c r="F2068" s="70"/>
      <c r="G2068" s="343" t="s">
        <v>1165</v>
      </c>
      <c r="H2068" s="338">
        <f t="shared" si="205"/>
        <v>416</v>
      </c>
      <c r="I2068" s="338">
        <v>16</v>
      </c>
      <c r="J2068" s="338"/>
      <c r="K2068" s="338"/>
      <c r="L2068" s="314" t="str">
        <f t="shared" si="204"/>
        <v>扩展帧CAN消息</v>
      </c>
      <c r="M2068" s="73"/>
    </row>
    <row r="2069" ht="15.6" spans="1:13">
      <c r="A2069" s="70"/>
      <c r="B2069" s="70"/>
      <c r="C2069" s="70"/>
      <c r="D2069" s="70"/>
      <c r="E2069" s="70"/>
      <c r="F2069" s="70"/>
      <c r="G2069" s="343" t="s">
        <v>1166</v>
      </c>
      <c r="H2069" s="338">
        <f t="shared" si="205"/>
        <v>432</v>
      </c>
      <c r="I2069" s="338">
        <v>16</v>
      </c>
      <c r="J2069" s="338"/>
      <c r="K2069" s="338"/>
      <c r="L2069" s="314" t="str">
        <f t="shared" si="204"/>
        <v>扩展帧CAN消息</v>
      </c>
      <c r="M2069" s="73"/>
    </row>
    <row r="2070" ht="15.6" spans="1:13">
      <c r="A2070" s="70"/>
      <c r="B2070" s="70"/>
      <c r="C2070" s="70"/>
      <c r="D2070" s="70"/>
      <c r="E2070" s="70"/>
      <c r="F2070" s="70"/>
      <c r="G2070" s="343" t="s">
        <v>1167</v>
      </c>
      <c r="H2070" s="338">
        <f t="shared" si="205"/>
        <v>448</v>
      </c>
      <c r="I2070" s="338">
        <v>16</v>
      </c>
      <c r="J2070" s="338"/>
      <c r="K2070" s="338"/>
      <c r="L2070" s="314" t="str">
        <f t="shared" si="204"/>
        <v>扩展帧CAN消息</v>
      </c>
      <c r="M2070" s="73"/>
    </row>
    <row r="2071" ht="15.6" spans="1:13">
      <c r="A2071" s="70"/>
      <c r="B2071" s="70"/>
      <c r="C2071" s="70"/>
      <c r="D2071" s="70"/>
      <c r="E2071" s="70"/>
      <c r="F2071" s="70"/>
      <c r="G2071" s="343" t="s">
        <v>1168</v>
      </c>
      <c r="H2071" s="338">
        <f t="shared" si="205"/>
        <v>464</v>
      </c>
      <c r="I2071" s="338">
        <v>16</v>
      </c>
      <c r="J2071" s="338"/>
      <c r="K2071" s="338"/>
      <c r="L2071" s="314" t="str">
        <f t="shared" si="204"/>
        <v>扩展帧CAN消息</v>
      </c>
      <c r="M2071" s="73"/>
    </row>
    <row r="2072" ht="15.6" spans="1:13">
      <c r="A2072" s="70"/>
      <c r="B2072" s="70"/>
      <c r="C2072" s="70"/>
      <c r="D2072" s="70"/>
      <c r="E2072" s="70"/>
      <c r="F2072" s="70"/>
      <c r="G2072" s="345" t="s">
        <v>88</v>
      </c>
      <c r="H2072" s="338">
        <f t="shared" si="205"/>
        <v>480</v>
      </c>
      <c r="I2072" s="338">
        <v>4</v>
      </c>
      <c r="J2072" s="338"/>
      <c r="K2072" s="338"/>
      <c r="L2072" s="312" t="str">
        <f t="shared" si="204"/>
        <v/>
      </c>
      <c r="M2072" s="73"/>
    </row>
    <row r="2073" ht="15.6" spans="1:13">
      <c r="A2073" s="70"/>
      <c r="B2073" s="70"/>
      <c r="C2073" s="70"/>
      <c r="D2073" s="70"/>
      <c r="E2073" s="70"/>
      <c r="F2073" s="70"/>
      <c r="G2073" s="343" t="s">
        <v>1169</v>
      </c>
      <c r="H2073" s="338">
        <f t="shared" si="205"/>
        <v>484</v>
      </c>
      <c r="I2073" s="338">
        <v>16</v>
      </c>
      <c r="J2073" s="338"/>
      <c r="K2073" s="338"/>
      <c r="L2073" s="314" t="str">
        <f t="shared" si="204"/>
        <v>扩展帧CAN消息</v>
      </c>
      <c r="M2073" s="73"/>
    </row>
    <row r="2074" ht="15.6" spans="1:13">
      <c r="A2074" s="70"/>
      <c r="B2074" s="70"/>
      <c r="C2074" s="70"/>
      <c r="D2074" s="70"/>
      <c r="E2074" s="70"/>
      <c r="F2074" s="70"/>
      <c r="G2074" s="343" t="s">
        <v>1170</v>
      </c>
      <c r="H2074" s="338">
        <f t="shared" si="205"/>
        <v>500</v>
      </c>
      <c r="I2074" s="338">
        <v>16</v>
      </c>
      <c r="J2074" s="338"/>
      <c r="K2074" s="338"/>
      <c r="L2074" s="314" t="str">
        <f t="shared" si="204"/>
        <v>扩展帧CAN消息</v>
      </c>
      <c r="M2074" s="73"/>
    </row>
    <row r="2075" ht="15.6" spans="1:13">
      <c r="A2075" s="70"/>
      <c r="B2075" s="70"/>
      <c r="C2075" s="70"/>
      <c r="D2075" s="70"/>
      <c r="E2075" s="70"/>
      <c r="F2075" s="70"/>
      <c r="G2075" s="343" t="s">
        <v>1171</v>
      </c>
      <c r="H2075" s="338">
        <f t="shared" si="205"/>
        <v>516</v>
      </c>
      <c r="I2075" s="338">
        <v>16</v>
      </c>
      <c r="J2075" s="338"/>
      <c r="K2075" s="338"/>
      <c r="L2075" s="314" t="str">
        <f t="shared" si="204"/>
        <v>扩展帧CAN消息</v>
      </c>
      <c r="M2075" s="73"/>
    </row>
    <row r="2076" ht="15.6" spans="1:13">
      <c r="A2076" s="70"/>
      <c r="B2076" s="70"/>
      <c r="C2076" s="70"/>
      <c r="D2076" s="70"/>
      <c r="E2076" s="70"/>
      <c r="F2076" s="70"/>
      <c r="G2076" s="343" t="s">
        <v>1172</v>
      </c>
      <c r="H2076" s="338">
        <f t="shared" si="205"/>
        <v>532</v>
      </c>
      <c r="I2076" s="338">
        <v>16</v>
      </c>
      <c r="J2076" s="338"/>
      <c r="K2076" s="338"/>
      <c r="L2076" s="314" t="str">
        <f t="shared" si="204"/>
        <v>扩展帧CAN消息</v>
      </c>
      <c r="M2076" s="73"/>
    </row>
    <row r="2077" ht="15.6" spans="1:13">
      <c r="A2077" s="70"/>
      <c r="B2077" s="70"/>
      <c r="C2077" s="70"/>
      <c r="D2077" s="70"/>
      <c r="E2077" s="70"/>
      <c r="F2077" s="70"/>
      <c r="G2077" s="345" t="s">
        <v>88</v>
      </c>
      <c r="H2077" s="338">
        <f t="shared" si="205"/>
        <v>548</v>
      </c>
      <c r="I2077" s="338">
        <v>4</v>
      </c>
      <c r="J2077" s="338"/>
      <c r="K2077" s="338"/>
      <c r="L2077" s="312" t="str">
        <f t="shared" si="204"/>
        <v/>
      </c>
      <c r="M2077" s="73"/>
    </row>
    <row r="2078" ht="15.6" spans="1:13">
      <c r="A2078" s="70"/>
      <c r="B2078" s="70"/>
      <c r="C2078" s="70"/>
      <c r="D2078" s="70"/>
      <c r="E2078" s="70"/>
      <c r="F2078" s="70"/>
      <c r="G2078" s="343" t="s">
        <v>1173</v>
      </c>
      <c r="H2078" s="338">
        <f t="shared" si="205"/>
        <v>552</v>
      </c>
      <c r="I2078" s="338">
        <v>16</v>
      </c>
      <c r="J2078" s="338"/>
      <c r="K2078" s="338"/>
      <c r="L2078" s="314" t="str">
        <f t="shared" si="204"/>
        <v>扩展帧CAN消息</v>
      </c>
      <c r="M2078" s="73"/>
    </row>
    <row r="2079" ht="15.6" spans="1:13">
      <c r="A2079" s="70"/>
      <c r="B2079" s="70"/>
      <c r="C2079" s="70"/>
      <c r="D2079" s="70"/>
      <c r="E2079" s="70"/>
      <c r="F2079" s="70"/>
      <c r="G2079" s="343" t="s">
        <v>1174</v>
      </c>
      <c r="H2079" s="338">
        <f t="shared" si="205"/>
        <v>568</v>
      </c>
      <c r="I2079" s="338">
        <v>16</v>
      </c>
      <c r="J2079" s="338"/>
      <c r="K2079" s="338"/>
      <c r="L2079" s="314" t="str">
        <f t="shared" si="204"/>
        <v>扩展帧CAN消息</v>
      </c>
      <c r="M2079" s="73"/>
    </row>
    <row r="2080" ht="15.6" spans="1:13">
      <c r="A2080" s="70"/>
      <c r="B2080" s="70"/>
      <c r="C2080" s="70"/>
      <c r="D2080" s="70"/>
      <c r="E2080" s="70"/>
      <c r="F2080" s="70"/>
      <c r="G2080" s="343" t="s">
        <v>1175</v>
      </c>
      <c r="H2080" s="338">
        <f t="shared" si="205"/>
        <v>584</v>
      </c>
      <c r="I2080" s="338">
        <v>16</v>
      </c>
      <c r="J2080" s="338"/>
      <c r="K2080" s="338"/>
      <c r="L2080" s="314" t="str">
        <f t="shared" si="204"/>
        <v>扩展帧CAN消息</v>
      </c>
      <c r="M2080" s="73"/>
    </row>
    <row r="2081" ht="15.6" spans="1:13">
      <c r="A2081" s="70"/>
      <c r="B2081" s="70"/>
      <c r="C2081" s="70"/>
      <c r="D2081" s="70"/>
      <c r="E2081" s="70"/>
      <c r="F2081" s="70"/>
      <c r="G2081" s="343" t="s">
        <v>1176</v>
      </c>
      <c r="H2081" s="338">
        <f t="shared" si="205"/>
        <v>600</v>
      </c>
      <c r="I2081" s="338">
        <v>16</v>
      </c>
      <c r="J2081" s="338"/>
      <c r="K2081" s="338"/>
      <c r="L2081" s="314" t="str">
        <f t="shared" si="204"/>
        <v>扩展帧CAN消息</v>
      </c>
      <c r="M2081" s="73"/>
    </row>
    <row r="2082" ht="15.6" spans="1:13">
      <c r="A2082" s="70"/>
      <c r="B2082" s="70"/>
      <c r="C2082" s="70"/>
      <c r="D2082" s="70"/>
      <c r="E2082" s="70"/>
      <c r="F2082" s="70"/>
      <c r="G2082" s="345" t="s">
        <v>88</v>
      </c>
      <c r="H2082" s="338">
        <f t="shared" si="205"/>
        <v>616</v>
      </c>
      <c r="I2082" s="338">
        <v>4</v>
      </c>
      <c r="J2082" s="338"/>
      <c r="K2082" s="338"/>
      <c r="L2082" s="312"/>
      <c r="M2082" s="73"/>
    </row>
    <row r="2083" ht="15.6" spans="1:13">
      <c r="A2083" s="70"/>
      <c r="B2083" s="70"/>
      <c r="C2083" s="70"/>
      <c r="D2083" s="70"/>
      <c r="E2083" s="70"/>
      <c r="F2083" s="70"/>
      <c r="G2083" s="343" t="s">
        <v>1177</v>
      </c>
      <c r="H2083" s="338">
        <f t="shared" si="205"/>
        <v>620</v>
      </c>
      <c r="I2083" s="338">
        <v>16</v>
      </c>
      <c r="J2083" s="338"/>
      <c r="K2083" s="338"/>
      <c r="L2083" s="312" t="str">
        <f t="shared" ref="L2083:L2099" si="206">IF(RIGHT(G2083,5)="FRAME","扩展帧CAN消息","")</f>
        <v>扩展帧CAN消息</v>
      </c>
      <c r="M2083" s="73"/>
    </row>
    <row r="2084" ht="15.6" spans="1:13">
      <c r="A2084" s="70"/>
      <c r="B2084" s="70"/>
      <c r="C2084" s="70"/>
      <c r="D2084" s="70"/>
      <c r="E2084" s="70"/>
      <c r="F2084" s="70"/>
      <c r="G2084" s="343" t="s">
        <v>1178</v>
      </c>
      <c r="H2084" s="338">
        <f t="shared" si="205"/>
        <v>636</v>
      </c>
      <c r="I2084" s="338">
        <v>16</v>
      </c>
      <c r="J2084" s="338"/>
      <c r="K2084" s="338"/>
      <c r="L2084" s="314" t="str">
        <f t="shared" si="206"/>
        <v>扩展帧CAN消息</v>
      </c>
      <c r="M2084" s="73"/>
    </row>
    <row r="2085" ht="15.6" spans="1:13">
      <c r="A2085" s="70"/>
      <c r="B2085" s="70"/>
      <c r="C2085" s="70"/>
      <c r="D2085" s="70"/>
      <c r="E2085" s="70"/>
      <c r="F2085" s="70"/>
      <c r="G2085" s="343" t="s">
        <v>1179</v>
      </c>
      <c r="H2085" s="338">
        <f t="shared" si="205"/>
        <v>652</v>
      </c>
      <c r="I2085" s="338">
        <v>16</v>
      </c>
      <c r="J2085" s="338"/>
      <c r="K2085" s="338"/>
      <c r="L2085" s="314" t="str">
        <f t="shared" si="206"/>
        <v>扩展帧CAN消息</v>
      </c>
      <c r="M2085" s="73"/>
    </row>
    <row r="2086" ht="15.6" spans="1:13">
      <c r="A2086" s="70"/>
      <c r="B2086" s="70"/>
      <c r="C2086" s="70"/>
      <c r="D2086" s="70"/>
      <c r="E2086" s="70"/>
      <c r="F2086" s="70"/>
      <c r="G2086" s="343" t="s">
        <v>1180</v>
      </c>
      <c r="H2086" s="338">
        <f t="shared" si="205"/>
        <v>668</v>
      </c>
      <c r="I2086" s="338">
        <v>16</v>
      </c>
      <c r="J2086" s="338"/>
      <c r="K2086" s="338"/>
      <c r="L2086" s="314" t="str">
        <f t="shared" si="206"/>
        <v>扩展帧CAN消息</v>
      </c>
      <c r="M2086" s="73"/>
    </row>
    <row r="2087" ht="15.6" spans="1:13">
      <c r="A2087" s="70"/>
      <c r="B2087" s="70"/>
      <c r="C2087" s="70"/>
      <c r="D2087" s="70"/>
      <c r="E2087" s="70"/>
      <c r="F2087" s="70"/>
      <c r="G2087" s="345" t="s">
        <v>88</v>
      </c>
      <c r="H2087" s="338">
        <f t="shared" si="205"/>
        <v>684</v>
      </c>
      <c r="I2087" s="338">
        <v>4</v>
      </c>
      <c r="J2087" s="338"/>
      <c r="K2087" s="338"/>
      <c r="L2087" s="314" t="str">
        <f t="shared" si="206"/>
        <v/>
      </c>
      <c r="M2087" s="73"/>
    </row>
    <row r="2088" ht="15.6" spans="1:13">
      <c r="A2088" s="70"/>
      <c r="B2088" s="70"/>
      <c r="C2088" s="70"/>
      <c r="D2088" s="70"/>
      <c r="E2088" s="70"/>
      <c r="F2088" s="70"/>
      <c r="G2088" s="343" t="s">
        <v>1181</v>
      </c>
      <c r="H2088" s="338">
        <f t="shared" si="205"/>
        <v>688</v>
      </c>
      <c r="I2088" s="338">
        <v>16</v>
      </c>
      <c r="J2088" s="338"/>
      <c r="K2088" s="338"/>
      <c r="L2088" s="312" t="str">
        <f t="shared" si="206"/>
        <v>扩展帧CAN消息</v>
      </c>
      <c r="M2088" s="73"/>
    </row>
    <row r="2089" ht="15.6" spans="1:13">
      <c r="A2089" s="70"/>
      <c r="B2089" s="70"/>
      <c r="C2089" s="70"/>
      <c r="D2089" s="70"/>
      <c r="E2089" s="70"/>
      <c r="F2089" s="70"/>
      <c r="G2089" s="343" t="s">
        <v>1182</v>
      </c>
      <c r="H2089" s="338">
        <f t="shared" si="205"/>
        <v>704</v>
      </c>
      <c r="I2089" s="338">
        <v>16</v>
      </c>
      <c r="J2089" s="338"/>
      <c r="K2089" s="338"/>
      <c r="L2089" s="314" t="str">
        <f t="shared" si="206"/>
        <v>扩展帧CAN消息</v>
      </c>
      <c r="M2089" s="73"/>
    </row>
    <row r="2090" ht="15.6" spans="1:13">
      <c r="A2090" s="70"/>
      <c r="B2090" s="70"/>
      <c r="C2090" s="70"/>
      <c r="D2090" s="70"/>
      <c r="E2090" s="70"/>
      <c r="F2090" s="70"/>
      <c r="G2090" s="343" t="s">
        <v>1183</v>
      </c>
      <c r="H2090" s="338">
        <f t="shared" si="205"/>
        <v>720</v>
      </c>
      <c r="I2090" s="338">
        <v>16</v>
      </c>
      <c r="J2090" s="338"/>
      <c r="K2090" s="338"/>
      <c r="L2090" s="314" t="str">
        <f t="shared" si="206"/>
        <v>扩展帧CAN消息</v>
      </c>
      <c r="M2090" s="73"/>
    </row>
    <row r="2091" ht="15.6" spans="1:13">
      <c r="A2091" s="70"/>
      <c r="B2091" s="70"/>
      <c r="C2091" s="70"/>
      <c r="D2091" s="70"/>
      <c r="E2091" s="70"/>
      <c r="F2091" s="70"/>
      <c r="G2091" s="343" t="s">
        <v>1184</v>
      </c>
      <c r="H2091" s="338">
        <f t="shared" si="205"/>
        <v>736</v>
      </c>
      <c r="I2091" s="338">
        <v>16</v>
      </c>
      <c r="J2091" s="338"/>
      <c r="K2091" s="338"/>
      <c r="L2091" s="314" t="str">
        <f t="shared" si="206"/>
        <v>扩展帧CAN消息</v>
      </c>
      <c r="M2091" s="73"/>
    </row>
    <row r="2092" ht="15.6" spans="1:13">
      <c r="A2092" s="70"/>
      <c r="B2092" s="70"/>
      <c r="C2092" s="70"/>
      <c r="D2092" s="70"/>
      <c r="E2092" s="70"/>
      <c r="F2092" s="70"/>
      <c r="G2092" s="345" t="s">
        <v>88</v>
      </c>
      <c r="H2092" s="338">
        <f t="shared" si="205"/>
        <v>752</v>
      </c>
      <c r="I2092" s="338">
        <v>4</v>
      </c>
      <c r="J2092" s="338"/>
      <c r="K2092" s="338"/>
      <c r="L2092" s="314" t="str">
        <f t="shared" si="206"/>
        <v/>
      </c>
      <c r="M2092" s="73"/>
    </row>
    <row r="2093" ht="15.6" spans="1:13">
      <c r="A2093" s="70"/>
      <c r="B2093" s="70"/>
      <c r="C2093" s="70"/>
      <c r="D2093" s="70"/>
      <c r="E2093" s="70"/>
      <c r="F2093" s="70"/>
      <c r="G2093" s="343" t="s">
        <v>1185</v>
      </c>
      <c r="H2093" s="338">
        <f t="shared" si="205"/>
        <v>756</v>
      </c>
      <c r="I2093" s="338">
        <v>16</v>
      </c>
      <c r="J2093" s="338"/>
      <c r="K2093" s="338"/>
      <c r="L2093" s="312" t="str">
        <f t="shared" si="206"/>
        <v>扩展帧CAN消息</v>
      </c>
      <c r="M2093" s="73"/>
    </row>
    <row r="2094" ht="15.6" spans="1:13">
      <c r="A2094" s="70"/>
      <c r="B2094" s="70"/>
      <c r="C2094" s="70"/>
      <c r="D2094" s="70"/>
      <c r="E2094" s="70"/>
      <c r="F2094" s="70"/>
      <c r="G2094" s="343" t="s">
        <v>1186</v>
      </c>
      <c r="H2094" s="338">
        <f t="shared" si="205"/>
        <v>772</v>
      </c>
      <c r="I2094" s="338">
        <v>16</v>
      </c>
      <c r="J2094" s="338"/>
      <c r="K2094" s="338"/>
      <c r="L2094" s="314" t="str">
        <f t="shared" si="206"/>
        <v>扩展帧CAN消息</v>
      </c>
      <c r="M2094" s="73"/>
    </row>
    <row r="2095" ht="15.6" spans="1:13">
      <c r="A2095" s="70"/>
      <c r="B2095" s="70"/>
      <c r="C2095" s="70"/>
      <c r="D2095" s="70"/>
      <c r="E2095" s="70"/>
      <c r="F2095" s="70"/>
      <c r="G2095" s="343" t="s">
        <v>1187</v>
      </c>
      <c r="H2095" s="338">
        <f t="shared" si="205"/>
        <v>788</v>
      </c>
      <c r="I2095" s="338">
        <v>16</v>
      </c>
      <c r="J2095" s="338"/>
      <c r="K2095" s="338"/>
      <c r="L2095" s="314" t="str">
        <f t="shared" si="206"/>
        <v>扩展帧CAN消息</v>
      </c>
      <c r="M2095" s="73"/>
    </row>
    <row r="2096" ht="15.6" spans="1:13">
      <c r="A2096" s="70"/>
      <c r="B2096" s="70"/>
      <c r="C2096" s="70"/>
      <c r="D2096" s="70"/>
      <c r="E2096" s="70"/>
      <c r="F2096" s="70"/>
      <c r="G2096" s="343" t="s">
        <v>1188</v>
      </c>
      <c r="H2096" s="338">
        <f t="shared" si="205"/>
        <v>804</v>
      </c>
      <c r="I2096" s="338">
        <v>16</v>
      </c>
      <c r="J2096" s="338"/>
      <c r="K2096" s="338"/>
      <c r="L2096" s="314" t="str">
        <f t="shared" si="206"/>
        <v>扩展帧CAN消息</v>
      </c>
      <c r="M2096" s="73"/>
    </row>
    <row r="2097" ht="15.6" spans="1:13">
      <c r="A2097" s="70"/>
      <c r="B2097" s="70"/>
      <c r="C2097" s="70"/>
      <c r="D2097" s="70"/>
      <c r="E2097" s="70"/>
      <c r="F2097" s="70"/>
      <c r="G2097" s="345" t="s">
        <v>88</v>
      </c>
      <c r="H2097" s="338">
        <f t="shared" si="205"/>
        <v>820</v>
      </c>
      <c r="I2097" s="338">
        <v>4</v>
      </c>
      <c r="J2097" s="338"/>
      <c r="K2097" s="338"/>
      <c r="L2097" s="314" t="str">
        <f t="shared" si="206"/>
        <v/>
      </c>
      <c r="M2097" s="73"/>
    </row>
    <row r="2098" ht="15.6" spans="1:13">
      <c r="A2098" s="70"/>
      <c r="B2098" s="70"/>
      <c r="C2098" s="70"/>
      <c r="D2098" s="70"/>
      <c r="E2098" s="70"/>
      <c r="F2098" s="70"/>
      <c r="G2098" s="343" t="s">
        <v>1189</v>
      </c>
      <c r="H2098" s="338">
        <f t="shared" si="205"/>
        <v>824</v>
      </c>
      <c r="I2098" s="338">
        <v>16</v>
      </c>
      <c r="J2098" s="338"/>
      <c r="K2098" s="338"/>
      <c r="L2098" s="312" t="str">
        <f t="shared" si="206"/>
        <v>扩展帧CAN消息</v>
      </c>
      <c r="M2098" s="73"/>
    </row>
    <row r="2099" ht="15.6" spans="1:13">
      <c r="A2099" s="70"/>
      <c r="B2099" s="70"/>
      <c r="C2099" s="70"/>
      <c r="D2099" s="70"/>
      <c r="E2099" s="70"/>
      <c r="F2099" s="70"/>
      <c r="G2099" s="343" t="s">
        <v>1190</v>
      </c>
      <c r="H2099" s="338">
        <f t="shared" si="205"/>
        <v>840</v>
      </c>
      <c r="I2099" s="338">
        <v>16</v>
      </c>
      <c r="J2099" s="338"/>
      <c r="K2099" s="338"/>
      <c r="L2099" s="314" t="str">
        <f t="shared" si="206"/>
        <v>扩展帧CAN消息</v>
      </c>
      <c r="M2099" s="73"/>
    </row>
    <row r="2100" ht="15.6" spans="1:13">
      <c r="A2100" s="70"/>
      <c r="B2100" s="70"/>
      <c r="C2100" s="70"/>
      <c r="D2100" s="70"/>
      <c r="E2100" s="70"/>
      <c r="F2100" s="70"/>
      <c r="G2100" s="343" t="s">
        <v>1191</v>
      </c>
      <c r="H2100" s="338">
        <f t="shared" si="205"/>
        <v>856</v>
      </c>
      <c r="I2100" s="338">
        <v>16</v>
      </c>
      <c r="J2100" s="338"/>
      <c r="K2100" s="338"/>
      <c r="L2100" s="314" t="str">
        <f t="shared" ref="L2100:L2117" si="207">IF(RIGHT(G2100,5)="FRAME","扩展帧CAN消息","")</f>
        <v>扩展帧CAN消息</v>
      </c>
      <c r="M2100" s="73"/>
    </row>
    <row r="2101" ht="15.6" spans="1:13">
      <c r="A2101" s="70"/>
      <c r="B2101" s="70"/>
      <c r="C2101" s="70"/>
      <c r="D2101" s="70"/>
      <c r="E2101" s="70"/>
      <c r="F2101" s="70"/>
      <c r="G2101" s="343" t="s">
        <v>1192</v>
      </c>
      <c r="H2101" s="338">
        <f t="shared" ref="H2101:H2120" si="208">H2100+I2100</f>
        <v>872</v>
      </c>
      <c r="I2101" s="338">
        <v>16</v>
      </c>
      <c r="J2101" s="338"/>
      <c r="K2101" s="338"/>
      <c r="L2101" s="314" t="str">
        <f t="shared" si="207"/>
        <v>扩展帧CAN消息</v>
      </c>
      <c r="M2101" s="73"/>
    </row>
    <row r="2102" ht="15.6" spans="1:13">
      <c r="A2102" s="70"/>
      <c r="B2102" s="70"/>
      <c r="C2102" s="70"/>
      <c r="D2102" s="70"/>
      <c r="E2102" s="70"/>
      <c r="F2102" s="70"/>
      <c r="G2102" s="345" t="s">
        <v>88</v>
      </c>
      <c r="H2102" s="338">
        <f t="shared" si="208"/>
        <v>888</v>
      </c>
      <c r="I2102" s="338">
        <v>4</v>
      </c>
      <c r="J2102" s="338"/>
      <c r="K2102" s="338"/>
      <c r="L2102" s="314" t="str">
        <f t="shared" si="207"/>
        <v/>
      </c>
      <c r="M2102" s="73"/>
    </row>
    <row r="2103" ht="15.6" spans="1:13">
      <c r="A2103" s="70"/>
      <c r="B2103" s="70"/>
      <c r="C2103" s="70"/>
      <c r="D2103" s="70"/>
      <c r="E2103" s="70"/>
      <c r="F2103" s="70"/>
      <c r="G2103" s="343" t="s">
        <v>1193</v>
      </c>
      <c r="H2103" s="338">
        <f t="shared" si="208"/>
        <v>892</v>
      </c>
      <c r="I2103" s="338">
        <v>16</v>
      </c>
      <c r="J2103" s="338"/>
      <c r="K2103" s="338"/>
      <c r="L2103" s="312" t="str">
        <f t="shared" si="207"/>
        <v>扩展帧CAN消息</v>
      </c>
      <c r="M2103" s="73"/>
    </row>
    <row r="2104" ht="15.6" spans="1:13">
      <c r="A2104" s="70"/>
      <c r="B2104" s="70"/>
      <c r="C2104" s="70"/>
      <c r="D2104" s="70"/>
      <c r="E2104" s="70"/>
      <c r="F2104" s="70"/>
      <c r="G2104" s="343" t="s">
        <v>1194</v>
      </c>
      <c r="H2104" s="338">
        <f t="shared" si="208"/>
        <v>908</v>
      </c>
      <c r="I2104" s="338">
        <v>16</v>
      </c>
      <c r="J2104" s="338"/>
      <c r="K2104" s="338"/>
      <c r="L2104" s="314" t="str">
        <f t="shared" si="207"/>
        <v>扩展帧CAN消息</v>
      </c>
      <c r="M2104" s="73"/>
    </row>
    <row r="2105" ht="15.6" spans="1:13">
      <c r="A2105" s="70"/>
      <c r="B2105" s="70"/>
      <c r="C2105" s="70"/>
      <c r="D2105" s="70"/>
      <c r="E2105" s="70"/>
      <c r="F2105" s="70"/>
      <c r="G2105" s="343" t="s">
        <v>1195</v>
      </c>
      <c r="H2105" s="338">
        <f t="shared" si="208"/>
        <v>924</v>
      </c>
      <c r="I2105" s="338">
        <v>16</v>
      </c>
      <c r="J2105" s="338"/>
      <c r="K2105" s="338"/>
      <c r="L2105" s="314" t="str">
        <f t="shared" si="207"/>
        <v>扩展帧CAN消息</v>
      </c>
      <c r="M2105" s="73"/>
    </row>
    <row r="2106" ht="15.6" spans="1:13">
      <c r="A2106" s="70"/>
      <c r="B2106" s="70"/>
      <c r="C2106" s="70"/>
      <c r="D2106" s="70"/>
      <c r="E2106" s="70"/>
      <c r="F2106" s="70"/>
      <c r="G2106" s="343" t="s">
        <v>1196</v>
      </c>
      <c r="H2106" s="338">
        <f t="shared" si="208"/>
        <v>940</v>
      </c>
      <c r="I2106" s="338">
        <v>16</v>
      </c>
      <c r="J2106" s="338"/>
      <c r="K2106" s="338"/>
      <c r="L2106" s="314" t="str">
        <f t="shared" si="207"/>
        <v>扩展帧CAN消息</v>
      </c>
      <c r="M2106" s="73"/>
    </row>
    <row r="2107" ht="15.6" spans="1:13">
      <c r="A2107" s="70"/>
      <c r="B2107" s="70"/>
      <c r="C2107" s="70"/>
      <c r="D2107" s="70"/>
      <c r="E2107" s="70"/>
      <c r="F2107" s="70"/>
      <c r="G2107" s="345" t="s">
        <v>88</v>
      </c>
      <c r="H2107" s="338">
        <f t="shared" si="208"/>
        <v>956</v>
      </c>
      <c r="I2107" s="338">
        <v>4</v>
      </c>
      <c r="J2107" s="338"/>
      <c r="K2107" s="338"/>
      <c r="L2107" s="314" t="str">
        <f t="shared" si="207"/>
        <v/>
      </c>
      <c r="M2107" s="73"/>
    </row>
    <row r="2108" ht="15.6" spans="1:13">
      <c r="A2108" s="70"/>
      <c r="B2108" s="70"/>
      <c r="C2108" s="70"/>
      <c r="D2108" s="70"/>
      <c r="E2108" s="70"/>
      <c r="F2108" s="70"/>
      <c r="G2108" s="343" t="s">
        <v>1197</v>
      </c>
      <c r="H2108" s="338">
        <f t="shared" si="208"/>
        <v>960</v>
      </c>
      <c r="I2108" s="338">
        <v>16</v>
      </c>
      <c r="J2108" s="338"/>
      <c r="K2108" s="338"/>
      <c r="L2108" s="312" t="str">
        <f t="shared" si="207"/>
        <v>扩展帧CAN消息</v>
      </c>
      <c r="M2108" s="73"/>
    </row>
    <row r="2109" ht="15.6" spans="1:13">
      <c r="A2109" s="70"/>
      <c r="B2109" s="70"/>
      <c r="C2109" s="70"/>
      <c r="D2109" s="70"/>
      <c r="E2109" s="70"/>
      <c r="F2109" s="70"/>
      <c r="G2109" s="343" t="s">
        <v>1198</v>
      </c>
      <c r="H2109" s="338">
        <f t="shared" si="208"/>
        <v>976</v>
      </c>
      <c r="I2109" s="338">
        <v>16</v>
      </c>
      <c r="J2109" s="338"/>
      <c r="K2109" s="338"/>
      <c r="L2109" s="314" t="str">
        <f t="shared" si="207"/>
        <v>扩展帧CAN消息</v>
      </c>
      <c r="M2109" s="73"/>
    </row>
    <row r="2110" ht="15.6" spans="1:13">
      <c r="A2110" s="70"/>
      <c r="B2110" s="70"/>
      <c r="C2110" s="70"/>
      <c r="D2110" s="70"/>
      <c r="E2110" s="70"/>
      <c r="F2110" s="70"/>
      <c r="G2110" s="343" t="s">
        <v>1199</v>
      </c>
      <c r="H2110" s="338">
        <f t="shared" si="208"/>
        <v>992</v>
      </c>
      <c r="I2110" s="338">
        <v>16</v>
      </c>
      <c r="J2110" s="338"/>
      <c r="K2110" s="338"/>
      <c r="L2110" s="314" t="str">
        <f t="shared" si="207"/>
        <v>扩展帧CAN消息</v>
      </c>
      <c r="M2110" s="73"/>
    </row>
    <row r="2111" ht="15.6" spans="1:13">
      <c r="A2111" s="70"/>
      <c r="B2111" s="70"/>
      <c r="C2111" s="70"/>
      <c r="D2111" s="70"/>
      <c r="E2111" s="70"/>
      <c r="F2111" s="70"/>
      <c r="G2111" s="343" t="s">
        <v>1200</v>
      </c>
      <c r="H2111" s="338">
        <f t="shared" si="208"/>
        <v>1008</v>
      </c>
      <c r="I2111" s="338">
        <v>16</v>
      </c>
      <c r="J2111" s="338"/>
      <c r="K2111" s="338"/>
      <c r="L2111" s="314" t="str">
        <f t="shared" si="207"/>
        <v>扩展帧CAN消息</v>
      </c>
      <c r="M2111" s="73"/>
    </row>
    <row r="2112" ht="15.6" spans="1:13">
      <c r="A2112" s="70"/>
      <c r="B2112" s="70"/>
      <c r="C2112" s="70"/>
      <c r="D2112" s="70"/>
      <c r="E2112" s="70"/>
      <c r="F2112" s="70"/>
      <c r="G2112" s="345" t="s">
        <v>88</v>
      </c>
      <c r="H2112" s="338">
        <f t="shared" si="208"/>
        <v>1024</v>
      </c>
      <c r="I2112" s="338">
        <v>4</v>
      </c>
      <c r="J2112" s="338"/>
      <c r="K2112" s="338"/>
      <c r="L2112" s="314" t="str">
        <f t="shared" si="207"/>
        <v/>
      </c>
      <c r="M2112" s="73"/>
    </row>
    <row r="2113" ht="15.6" spans="1:14">
      <c r="A2113" s="70"/>
      <c r="B2113" s="70"/>
      <c r="C2113" s="70"/>
      <c r="D2113" s="70"/>
      <c r="E2113" s="70"/>
      <c r="F2113" s="70"/>
      <c r="G2113" s="343" t="s">
        <v>1201</v>
      </c>
      <c r="H2113" s="338">
        <f t="shared" si="208"/>
        <v>1028</v>
      </c>
      <c r="I2113" s="338">
        <v>16</v>
      </c>
      <c r="J2113" s="338"/>
      <c r="K2113" s="338"/>
      <c r="L2113" s="312" t="str">
        <f t="shared" si="207"/>
        <v>扩展帧CAN消息</v>
      </c>
      <c r="M2113" s="73"/>
    </row>
    <row r="2114" ht="15.6" spans="1:14">
      <c r="A2114" s="70"/>
      <c r="B2114" s="70"/>
      <c r="C2114" s="70"/>
      <c r="D2114" s="70"/>
      <c r="E2114" s="70"/>
      <c r="F2114" s="70"/>
      <c r="G2114" s="343" t="s">
        <v>1202</v>
      </c>
      <c r="H2114" s="338">
        <f t="shared" si="208"/>
        <v>1044</v>
      </c>
      <c r="I2114" s="338">
        <v>16</v>
      </c>
      <c r="J2114" s="338"/>
      <c r="K2114" s="338"/>
      <c r="L2114" s="314" t="str">
        <f t="shared" si="207"/>
        <v>扩展帧CAN消息</v>
      </c>
      <c r="M2114" s="73"/>
    </row>
    <row r="2115" ht="15.6" spans="1:14">
      <c r="A2115" s="70"/>
      <c r="B2115" s="70"/>
      <c r="C2115" s="70"/>
      <c r="D2115" s="70"/>
      <c r="E2115" s="70"/>
      <c r="F2115" s="70"/>
      <c r="G2115" s="343" t="s">
        <v>1203</v>
      </c>
      <c r="H2115" s="338">
        <f t="shared" si="208"/>
        <v>1060</v>
      </c>
      <c r="I2115" s="338">
        <v>16</v>
      </c>
      <c r="J2115" s="338"/>
      <c r="K2115" s="338"/>
      <c r="L2115" s="314" t="str">
        <f t="shared" si="207"/>
        <v>扩展帧CAN消息</v>
      </c>
      <c r="M2115" s="73"/>
    </row>
    <row r="2116" ht="15.6" spans="1:14">
      <c r="A2116" s="70"/>
      <c r="B2116" s="70"/>
      <c r="C2116" s="70"/>
      <c r="D2116" s="70"/>
      <c r="E2116" s="70"/>
      <c r="F2116" s="70"/>
      <c r="G2116" s="343" t="s">
        <v>1204</v>
      </c>
      <c r="H2116" s="338">
        <f t="shared" si="208"/>
        <v>1076</v>
      </c>
      <c r="I2116" s="338">
        <v>16</v>
      </c>
      <c r="J2116" s="338"/>
      <c r="K2116" s="338"/>
      <c r="L2116" s="314" t="str">
        <f t="shared" si="207"/>
        <v>扩展帧CAN消息</v>
      </c>
      <c r="M2116" s="73"/>
    </row>
    <row r="2117" ht="15.6" spans="1:14">
      <c r="A2117" s="70"/>
      <c r="B2117" s="70"/>
      <c r="C2117" s="70"/>
      <c r="D2117" s="70"/>
      <c r="E2117" s="70"/>
      <c r="F2117" s="70"/>
      <c r="G2117" s="345" t="s">
        <v>88</v>
      </c>
      <c r="H2117" s="338">
        <f t="shared" si="208"/>
        <v>1092</v>
      </c>
      <c r="I2117" s="338">
        <v>4</v>
      </c>
      <c r="J2117" s="338"/>
      <c r="K2117" s="338"/>
      <c r="L2117" s="314" t="str">
        <f t="shared" si="207"/>
        <v/>
      </c>
      <c r="M2117" s="73"/>
    </row>
    <row r="2118" ht="15.6" spans="1:14">
      <c r="A2118" s="70"/>
      <c r="B2118" s="70"/>
      <c r="C2118" s="70"/>
      <c r="D2118" s="70"/>
      <c r="E2118" s="70"/>
      <c r="F2118" s="70"/>
      <c r="G2118" s="343" t="s">
        <v>1205</v>
      </c>
      <c r="H2118" s="338">
        <f t="shared" si="208"/>
        <v>1096</v>
      </c>
      <c r="I2118" s="338">
        <v>16</v>
      </c>
      <c r="J2118" s="338"/>
      <c r="K2118" s="338"/>
      <c r="L2118" s="356"/>
      <c r="M2118" s="73"/>
    </row>
    <row r="2119" ht="15.6" spans="1:14">
      <c r="A2119" s="70"/>
      <c r="B2119" s="70"/>
      <c r="C2119" s="70"/>
      <c r="D2119" s="70"/>
      <c r="E2119" s="70"/>
      <c r="F2119" s="70"/>
      <c r="G2119" s="347" t="s">
        <v>1206</v>
      </c>
      <c r="H2119" s="348">
        <f t="shared" si="208"/>
        <v>1112</v>
      </c>
      <c r="I2119" s="348">
        <v>16</v>
      </c>
      <c r="J2119" s="338"/>
      <c r="K2119" s="338"/>
      <c r="L2119" s="314" t="str">
        <f>IF(RIGHT(G2119,5)="FRAME","扩展帧CAN消息","")</f>
        <v>扩展帧CAN消息</v>
      </c>
      <c r="M2119" s="73"/>
    </row>
    <row r="2120" ht="15.6" spans="1:14">
      <c r="A2120" s="70"/>
      <c r="B2120" s="70"/>
      <c r="C2120" s="70"/>
      <c r="D2120" s="70"/>
      <c r="E2120" s="70"/>
      <c r="F2120" s="70"/>
      <c r="G2120" s="347" t="s">
        <v>1207</v>
      </c>
      <c r="H2120" s="348">
        <f t="shared" si="208"/>
        <v>1128</v>
      </c>
      <c r="I2120" s="348">
        <v>16</v>
      </c>
      <c r="J2120" s="338"/>
      <c r="K2120" s="338"/>
      <c r="L2120" s="314" t="str">
        <f>IF(RIGHT(G2119,5)="FRAME","扩展帧CAN消息","")</f>
        <v>扩展帧CAN消息</v>
      </c>
      <c r="M2120" s="76"/>
    </row>
    <row r="2121" spans="1:14">
      <c r="A2121" s="357" t="s">
        <v>1210</v>
      </c>
      <c r="B2121" s="357" t="s">
        <v>1211</v>
      </c>
      <c r="C2121" s="357" t="s">
        <v>1212</v>
      </c>
      <c r="D2121" s="357" t="s">
        <v>118</v>
      </c>
      <c r="E2121" s="357">
        <v>7054</v>
      </c>
      <c r="F2121" s="357" t="s">
        <v>17</v>
      </c>
      <c r="G2121" s="358" t="s">
        <v>87</v>
      </c>
      <c r="H2121" s="357">
        <v>0</v>
      </c>
      <c r="I2121" s="357">
        <v>4</v>
      </c>
      <c r="J2121" s="357" t="s">
        <v>97</v>
      </c>
      <c r="K2121" s="357">
        <v>100</v>
      </c>
      <c r="L2121" s="359" t="str">
        <f t="shared" ref="L2121:L2134" si="209">IF(RIGHT(G2121,5)="FRAME","扩展帧CAN消息","")</f>
        <v/>
      </c>
      <c r="M2121" s="360">
        <v>1402201</v>
      </c>
    </row>
    <row r="2122" spans="1:14">
      <c r="A2122" s="357"/>
      <c r="B2122" s="357"/>
      <c r="C2122" s="357"/>
      <c r="D2122" s="357"/>
      <c r="E2122" s="357"/>
      <c r="F2122" s="357"/>
      <c r="G2122" s="358" t="s">
        <v>88</v>
      </c>
      <c r="H2122" s="357">
        <f t="shared" ref="H2122:H2136" si="210">H2121+I2121</f>
        <v>4</v>
      </c>
      <c r="I2122" s="357">
        <v>4</v>
      </c>
      <c r="J2122" s="357"/>
      <c r="K2122" s="357"/>
      <c r="L2122" s="359" t="str">
        <f t="shared" si="209"/>
        <v/>
      </c>
      <c r="M2122" s="361"/>
    </row>
    <row r="2123" spans="1:14">
      <c r="A2123" s="357"/>
      <c r="B2123" s="357"/>
      <c r="C2123" s="357"/>
      <c r="D2123" s="357"/>
      <c r="E2123" s="357"/>
      <c r="F2123" s="357"/>
      <c r="G2123" s="357" t="s">
        <v>1213</v>
      </c>
      <c r="H2123" s="357">
        <f t="shared" si="210"/>
        <v>8</v>
      </c>
      <c r="I2123" s="357">
        <v>16</v>
      </c>
      <c r="J2123" s="357"/>
      <c r="K2123" s="357"/>
      <c r="L2123" s="362" t="str">
        <f t="shared" si="209"/>
        <v>扩展帧CAN消息</v>
      </c>
      <c r="M2123" s="361"/>
    </row>
    <row r="2124" spans="1:14">
      <c r="A2124" s="357"/>
      <c r="B2124" s="357"/>
      <c r="C2124" s="357"/>
      <c r="D2124" s="357"/>
      <c r="E2124" s="357"/>
      <c r="F2124" s="357"/>
      <c r="G2124" s="357" t="s">
        <v>1214</v>
      </c>
      <c r="H2124" s="357">
        <f t="shared" si="210"/>
        <v>24</v>
      </c>
      <c r="I2124" s="357">
        <v>16</v>
      </c>
      <c r="J2124" s="357"/>
      <c r="K2124" s="357"/>
      <c r="L2124" s="362" t="str">
        <f t="shared" si="209"/>
        <v>扩展帧CAN消息</v>
      </c>
      <c r="M2124" s="361"/>
      <c r="N2124" s="213" t="s">
        <v>1215</v>
      </c>
    </row>
    <row r="2125" spans="1:14">
      <c r="A2125" s="357"/>
      <c r="B2125" s="357"/>
      <c r="C2125" s="357"/>
      <c r="D2125" s="357"/>
      <c r="E2125" s="357"/>
      <c r="F2125" s="357"/>
      <c r="G2125" s="357" t="s">
        <v>1216</v>
      </c>
      <c r="H2125" s="357">
        <f t="shared" si="210"/>
        <v>40</v>
      </c>
      <c r="I2125" s="357">
        <v>16</v>
      </c>
      <c r="J2125" s="357"/>
      <c r="K2125" s="357"/>
      <c r="L2125" s="362" t="str">
        <f t="shared" si="209"/>
        <v>扩展帧CAN消息</v>
      </c>
      <c r="M2125" s="361"/>
    </row>
    <row r="2126" spans="1:14">
      <c r="A2126" s="357"/>
      <c r="B2126" s="357"/>
      <c r="C2126" s="357"/>
      <c r="D2126" s="357"/>
      <c r="E2126" s="357"/>
      <c r="F2126" s="357"/>
      <c r="G2126" s="357" t="s">
        <v>1217</v>
      </c>
      <c r="H2126" s="357">
        <f t="shared" si="210"/>
        <v>56</v>
      </c>
      <c r="I2126" s="357">
        <v>16</v>
      </c>
      <c r="J2126" s="357"/>
      <c r="K2126" s="357"/>
      <c r="L2126" s="362" t="str">
        <f t="shared" si="209"/>
        <v>扩展帧CAN消息</v>
      </c>
      <c r="M2126" s="361"/>
    </row>
    <row r="2127" spans="1:14">
      <c r="A2127" s="357"/>
      <c r="B2127" s="357"/>
      <c r="C2127" s="357"/>
      <c r="D2127" s="357"/>
      <c r="E2127" s="357"/>
      <c r="F2127" s="357"/>
      <c r="G2127" s="358" t="s">
        <v>88</v>
      </c>
      <c r="H2127" s="357">
        <f t="shared" si="210"/>
        <v>72</v>
      </c>
      <c r="I2127" s="357">
        <v>4</v>
      </c>
      <c r="J2127" s="357"/>
      <c r="K2127" s="357"/>
      <c r="L2127" s="359" t="str">
        <f t="shared" si="209"/>
        <v/>
      </c>
      <c r="M2127" s="361"/>
    </row>
    <row r="2128" spans="1:14">
      <c r="A2128" s="357"/>
      <c r="B2128" s="357"/>
      <c r="C2128" s="357"/>
      <c r="D2128" s="357"/>
      <c r="E2128" s="357"/>
      <c r="F2128" s="357"/>
      <c r="G2128" s="357" t="s">
        <v>1218</v>
      </c>
      <c r="H2128" s="357">
        <f t="shared" si="210"/>
        <v>76</v>
      </c>
      <c r="I2128" s="357">
        <v>16</v>
      </c>
      <c r="J2128" s="357"/>
      <c r="K2128" s="357"/>
      <c r="L2128" s="362" t="str">
        <f t="shared" si="209"/>
        <v>扩展帧CAN消息</v>
      </c>
      <c r="M2128" s="361"/>
    </row>
    <row r="2129" spans="1:13">
      <c r="A2129" s="357"/>
      <c r="B2129" s="357"/>
      <c r="C2129" s="357"/>
      <c r="D2129" s="357"/>
      <c r="E2129" s="357"/>
      <c r="F2129" s="357"/>
      <c r="G2129" s="357" t="s">
        <v>1219</v>
      </c>
      <c r="H2129" s="357">
        <f t="shared" si="210"/>
        <v>92</v>
      </c>
      <c r="I2129" s="357">
        <v>16</v>
      </c>
      <c r="J2129" s="357"/>
      <c r="K2129" s="357"/>
      <c r="L2129" s="362" t="str">
        <f t="shared" si="209"/>
        <v>扩展帧CAN消息</v>
      </c>
      <c r="M2129" s="361"/>
    </row>
    <row r="2130" spans="1:13">
      <c r="A2130" s="357"/>
      <c r="B2130" s="357"/>
      <c r="C2130" s="357"/>
      <c r="D2130" s="357"/>
      <c r="E2130" s="357"/>
      <c r="F2130" s="357"/>
      <c r="G2130" s="357" t="s">
        <v>1220</v>
      </c>
      <c r="H2130" s="357">
        <f t="shared" si="210"/>
        <v>108</v>
      </c>
      <c r="I2130" s="357">
        <v>16</v>
      </c>
      <c r="J2130" s="357"/>
      <c r="K2130" s="357"/>
      <c r="L2130" s="362" t="str">
        <f t="shared" si="209"/>
        <v>扩展帧CAN消息</v>
      </c>
      <c r="M2130" s="361"/>
    </row>
    <row r="2131" spans="1:13">
      <c r="A2131" s="357"/>
      <c r="B2131" s="357"/>
      <c r="C2131" s="357"/>
      <c r="D2131" s="357"/>
      <c r="E2131" s="357"/>
      <c r="F2131" s="357"/>
      <c r="G2131" s="357" t="s">
        <v>1221</v>
      </c>
      <c r="H2131" s="357">
        <f t="shared" si="210"/>
        <v>124</v>
      </c>
      <c r="I2131" s="357">
        <v>16</v>
      </c>
      <c r="J2131" s="357"/>
      <c r="K2131" s="357"/>
      <c r="L2131" s="362" t="str">
        <f t="shared" si="209"/>
        <v>扩展帧CAN消息</v>
      </c>
      <c r="M2131" s="361"/>
    </row>
    <row r="2132" spans="1:13">
      <c r="A2132" s="357"/>
      <c r="B2132" s="357"/>
      <c r="C2132" s="357"/>
      <c r="D2132" s="357"/>
      <c r="E2132" s="357"/>
      <c r="F2132" s="357"/>
      <c r="G2132" s="358" t="s">
        <v>88</v>
      </c>
      <c r="H2132" s="357">
        <f t="shared" si="210"/>
        <v>140</v>
      </c>
      <c r="I2132" s="357">
        <v>4</v>
      </c>
      <c r="J2132" s="357"/>
      <c r="K2132" s="357"/>
      <c r="L2132" s="359" t="str">
        <f t="shared" si="209"/>
        <v/>
      </c>
      <c r="M2132" s="361"/>
    </row>
    <row r="2133" spans="1:13">
      <c r="A2133" s="357"/>
      <c r="B2133" s="357"/>
      <c r="C2133" s="357"/>
      <c r="D2133" s="357"/>
      <c r="E2133" s="357"/>
      <c r="F2133" s="357"/>
      <c r="G2133" s="357" t="s">
        <v>1222</v>
      </c>
      <c r="H2133" s="357">
        <f t="shared" si="210"/>
        <v>144</v>
      </c>
      <c r="I2133" s="357">
        <v>16</v>
      </c>
      <c r="J2133" s="357"/>
      <c r="K2133" s="357"/>
      <c r="L2133" s="362" t="str">
        <f t="shared" si="209"/>
        <v>扩展帧CAN消息</v>
      </c>
      <c r="M2133" s="361"/>
    </row>
    <row r="2134" spans="1:13">
      <c r="A2134" s="357"/>
      <c r="B2134" s="357"/>
      <c r="C2134" s="357"/>
      <c r="D2134" s="357"/>
      <c r="E2134" s="357"/>
      <c r="F2134" s="357"/>
      <c r="G2134" s="357" t="s">
        <v>1223</v>
      </c>
      <c r="H2134" s="357">
        <f t="shared" si="210"/>
        <v>160</v>
      </c>
      <c r="I2134" s="357">
        <v>16</v>
      </c>
      <c r="J2134" s="357"/>
      <c r="K2134" s="357"/>
      <c r="L2134" s="362" t="str">
        <f t="shared" si="209"/>
        <v>扩展帧CAN消息</v>
      </c>
      <c r="M2134" s="361"/>
    </row>
    <row r="2135" spans="1:13">
      <c r="A2135" s="357"/>
      <c r="B2135" s="357"/>
      <c r="C2135" s="357"/>
      <c r="D2135" s="357"/>
      <c r="E2135" s="357"/>
      <c r="F2135" s="357"/>
      <c r="G2135" s="357" t="s">
        <v>1224</v>
      </c>
      <c r="H2135" s="357">
        <f t="shared" si="210"/>
        <v>176</v>
      </c>
      <c r="I2135" s="357">
        <v>16</v>
      </c>
      <c r="J2135" s="357"/>
      <c r="K2135" s="357"/>
      <c r="L2135" s="362"/>
      <c r="M2135" s="361"/>
    </row>
    <row r="2136" spans="1:13">
      <c r="A2136" s="357"/>
      <c r="B2136" s="357"/>
      <c r="C2136" s="357"/>
      <c r="D2136" s="357"/>
      <c r="E2136" s="357"/>
      <c r="F2136" s="357"/>
      <c r="G2136" s="363" t="s">
        <v>1225</v>
      </c>
      <c r="H2136" s="363">
        <f t="shared" si="210"/>
        <v>192</v>
      </c>
      <c r="I2136" s="363">
        <v>16</v>
      </c>
      <c r="J2136" s="357"/>
      <c r="K2136" s="357"/>
      <c r="L2136" s="362" t="str">
        <f>IF(RIGHT(G2135,5)="FRAME","扩展帧CAN消息","")</f>
        <v>扩展帧CAN消息</v>
      </c>
      <c r="M2136" s="364"/>
    </row>
    <row r="2137" spans="1:13">
      <c r="A2137" s="365" t="s">
        <v>1226</v>
      </c>
      <c r="B2137" s="365" t="s">
        <v>1227</v>
      </c>
      <c r="C2137" s="365" t="s">
        <v>1212</v>
      </c>
      <c r="D2137" s="365" t="s">
        <v>133</v>
      </c>
      <c r="E2137" s="365">
        <v>7055</v>
      </c>
      <c r="F2137" s="357" t="s">
        <v>17</v>
      </c>
      <c r="G2137" s="366" t="s">
        <v>87</v>
      </c>
      <c r="H2137" s="365">
        <v>0</v>
      </c>
      <c r="I2137" s="365">
        <v>4</v>
      </c>
      <c r="J2137" s="365" t="s">
        <v>119</v>
      </c>
      <c r="K2137" s="365">
        <v>100</v>
      </c>
      <c r="L2137" s="367" t="str">
        <f t="shared" ref="L2136:L2152" si="211">IF(RIGHT(G2137,5)="FRAME","扩展帧CAN消息","")</f>
        <v/>
      </c>
      <c r="M2137" s="368">
        <v>1602202</v>
      </c>
    </row>
    <row r="2138" spans="1:13">
      <c r="A2138" s="365"/>
      <c r="B2138" s="365"/>
      <c r="C2138" s="365"/>
      <c r="D2138" s="365"/>
      <c r="E2138" s="365"/>
      <c r="F2138" s="357"/>
      <c r="G2138" s="366" t="s">
        <v>88</v>
      </c>
      <c r="H2138" s="365">
        <f t="shared" ref="H2138:H2151" si="212">H2137+I2137</f>
        <v>4</v>
      </c>
      <c r="I2138" s="365">
        <v>4</v>
      </c>
      <c r="J2138" s="365"/>
      <c r="K2138" s="365"/>
      <c r="L2138" s="367" t="str">
        <f t="shared" si="211"/>
        <v/>
      </c>
      <c r="M2138" s="369"/>
    </row>
    <row r="2139" spans="1:13">
      <c r="A2139" s="365"/>
      <c r="B2139" s="365"/>
      <c r="C2139" s="365"/>
      <c r="D2139" s="365"/>
      <c r="E2139" s="365"/>
      <c r="F2139" s="357"/>
      <c r="G2139" s="365" t="s">
        <v>1213</v>
      </c>
      <c r="H2139" s="365">
        <f t="shared" si="212"/>
        <v>8</v>
      </c>
      <c r="I2139" s="365">
        <v>16</v>
      </c>
      <c r="J2139" s="365"/>
      <c r="K2139" s="365"/>
      <c r="L2139" s="370" t="str">
        <f t="shared" si="211"/>
        <v>扩展帧CAN消息</v>
      </c>
      <c r="M2139" s="369"/>
    </row>
    <row r="2140" spans="1:13">
      <c r="A2140" s="365"/>
      <c r="B2140" s="365"/>
      <c r="C2140" s="365"/>
      <c r="D2140" s="365"/>
      <c r="E2140" s="365"/>
      <c r="F2140" s="357"/>
      <c r="G2140" s="365" t="s">
        <v>1214</v>
      </c>
      <c r="H2140" s="365">
        <f t="shared" si="212"/>
        <v>24</v>
      </c>
      <c r="I2140" s="365">
        <v>16</v>
      </c>
      <c r="J2140" s="365"/>
      <c r="K2140" s="365"/>
      <c r="L2140" s="370" t="str">
        <f t="shared" si="211"/>
        <v>扩展帧CAN消息</v>
      </c>
      <c r="M2140" s="369"/>
    </row>
    <row r="2141" spans="1:13">
      <c r="A2141" s="365"/>
      <c r="B2141" s="365"/>
      <c r="C2141" s="365"/>
      <c r="D2141" s="365"/>
      <c r="E2141" s="365"/>
      <c r="F2141" s="357"/>
      <c r="G2141" s="365" t="s">
        <v>1216</v>
      </c>
      <c r="H2141" s="365">
        <f t="shared" si="212"/>
        <v>40</v>
      </c>
      <c r="I2141" s="365">
        <v>16</v>
      </c>
      <c r="J2141" s="365"/>
      <c r="K2141" s="365"/>
      <c r="L2141" s="370" t="str">
        <f t="shared" si="211"/>
        <v>扩展帧CAN消息</v>
      </c>
      <c r="M2141" s="369"/>
    </row>
    <row r="2142" spans="1:13">
      <c r="A2142" s="365"/>
      <c r="B2142" s="365"/>
      <c r="C2142" s="365"/>
      <c r="D2142" s="365"/>
      <c r="E2142" s="365"/>
      <c r="F2142" s="357"/>
      <c r="G2142" s="365" t="s">
        <v>1217</v>
      </c>
      <c r="H2142" s="365">
        <f t="shared" si="212"/>
        <v>56</v>
      </c>
      <c r="I2142" s="365">
        <v>16</v>
      </c>
      <c r="J2142" s="365"/>
      <c r="K2142" s="365"/>
      <c r="L2142" s="370" t="str">
        <f t="shared" si="211"/>
        <v>扩展帧CAN消息</v>
      </c>
      <c r="M2142" s="369"/>
    </row>
    <row r="2143" spans="1:13">
      <c r="A2143" s="365"/>
      <c r="B2143" s="365"/>
      <c r="C2143" s="365"/>
      <c r="D2143" s="365"/>
      <c r="E2143" s="365"/>
      <c r="F2143" s="357"/>
      <c r="G2143" s="366" t="s">
        <v>88</v>
      </c>
      <c r="H2143" s="365">
        <f t="shared" si="212"/>
        <v>72</v>
      </c>
      <c r="I2143" s="365">
        <v>4</v>
      </c>
      <c r="J2143" s="365"/>
      <c r="K2143" s="365"/>
      <c r="L2143" s="367" t="str">
        <f t="shared" si="211"/>
        <v/>
      </c>
      <c r="M2143" s="369"/>
    </row>
    <row r="2144" spans="1:13">
      <c r="A2144" s="365"/>
      <c r="B2144" s="365"/>
      <c r="C2144" s="365"/>
      <c r="D2144" s="365"/>
      <c r="E2144" s="365"/>
      <c r="F2144" s="357"/>
      <c r="G2144" s="365" t="s">
        <v>1218</v>
      </c>
      <c r="H2144" s="365">
        <f t="shared" si="212"/>
        <v>76</v>
      </c>
      <c r="I2144" s="365">
        <v>16</v>
      </c>
      <c r="J2144" s="365"/>
      <c r="K2144" s="365"/>
      <c r="L2144" s="370" t="str">
        <f t="shared" si="211"/>
        <v>扩展帧CAN消息</v>
      </c>
      <c r="M2144" s="369"/>
    </row>
    <row r="2145" spans="1:13">
      <c r="A2145" s="365"/>
      <c r="B2145" s="365"/>
      <c r="C2145" s="365"/>
      <c r="D2145" s="365"/>
      <c r="E2145" s="365"/>
      <c r="F2145" s="357"/>
      <c r="G2145" s="365" t="s">
        <v>1219</v>
      </c>
      <c r="H2145" s="365">
        <f t="shared" si="212"/>
        <v>92</v>
      </c>
      <c r="I2145" s="365">
        <v>16</v>
      </c>
      <c r="J2145" s="365"/>
      <c r="K2145" s="365"/>
      <c r="L2145" s="370" t="str">
        <f t="shared" si="211"/>
        <v>扩展帧CAN消息</v>
      </c>
      <c r="M2145" s="369"/>
    </row>
    <row r="2146" spans="1:13">
      <c r="A2146" s="365"/>
      <c r="B2146" s="365"/>
      <c r="C2146" s="365"/>
      <c r="D2146" s="365"/>
      <c r="E2146" s="365"/>
      <c r="F2146" s="357"/>
      <c r="G2146" s="365" t="s">
        <v>1220</v>
      </c>
      <c r="H2146" s="365">
        <f t="shared" si="212"/>
        <v>108</v>
      </c>
      <c r="I2146" s="365">
        <v>16</v>
      </c>
      <c r="J2146" s="365"/>
      <c r="K2146" s="365"/>
      <c r="L2146" s="370" t="str">
        <f t="shared" si="211"/>
        <v>扩展帧CAN消息</v>
      </c>
      <c r="M2146" s="369"/>
    </row>
    <row r="2147" spans="1:13">
      <c r="A2147" s="365"/>
      <c r="B2147" s="365"/>
      <c r="C2147" s="365"/>
      <c r="D2147" s="365"/>
      <c r="E2147" s="365"/>
      <c r="F2147" s="357"/>
      <c r="G2147" s="365" t="s">
        <v>1221</v>
      </c>
      <c r="H2147" s="365">
        <f t="shared" si="212"/>
        <v>124</v>
      </c>
      <c r="I2147" s="365">
        <v>16</v>
      </c>
      <c r="J2147" s="365"/>
      <c r="K2147" s="365"/>
      <c r="L2147" s="370" t="str">
        <f t="shared" si="211"/>
        <v>扩展帧CAN消息</v>
      </c>
      <c r="M2147" s="369"/>
    </row>
    <row r="2148" spans="1:13">
      <c r="A2148" s="365"/>
      <c r="B2148" s="365"/>
      <c r="C2148" s="365"/>
      <c r="D2148" s="365"/>
      <c r="E2148" s="365"/>
      <c r="F2148" s="357"/>
      <c r="G2148" s="366" t="s">
        <v>88</v>
      </c>
      <c r="H2148" s="365">
        <f t="shared" si="212"/>
        <v>140</v>
      </c>
      <c r="I2148" s="365">
        <v>4</v>
      </c>
      <c r="J2148" s="365"/>
      <c r="K2148" s="365"/>
      <c r="L2148" s="367" t="str">
        <f t="shared" si="211"/>
        <v/>
      </c>
      <c r="M2148" s="369"/>
    </row>
    <row r="2149" spans="1:13">
      <c r="A2149" s="365"/>
      <c r="B2149" s="365"/>
      <c r="C2149" s="365"/>
      <c r="D2149" s="365"/>
      <c r="E2149" s="365"/>
      <c r="F2149" s="357"/>
      <c r="G2149" s="365" t="s">
        <v>1222</v>
      </c>
      <c r="H2149" s="365">
        <f t="shared" si="212"/>
        <v>144</v>
      </c>
      <c r="I2149" s="365">
        <v>16</v>
      </c>
      <c r="J2149" s="365"/>
      <c r="K2149" s="365"/>
      <c r="L2149" s="370" t="str">
        <f t="shared" si="211"/>
        <v>扩展帧CAN消息</v>
      </c>
      <c r="M2149" s="369"/>
    </row>
    <row r="2150" spans="1:13">
      <c r="A2150" s="365"/>
      <c r="B2150" s="365"/>
      <c r="C2150" s="365"/>
      <c r="D2150" s="365"/>
      <c r="E2150" s="365"/>
      <c r="F2150" s="357"/>
      <c r="G2150" s="365" t="s">
        <v>1223</v>
      </c>
      <c r="H2150" s="365">
        <f t="shared" si="212"/>
        <v>160</v>
      </c>
      <c r="I2150" s="365">
        <v>16</v>
      </c>
      <c r="J2150" s="365"/>
      <c r="K2150" s="365"/>
      <c r="L2150" s="370" t="str">
        <f t="shared" si="211"/>
        <v>扩展帧CAN消息</v>
      </c>
      <c r="M2150" s="369"/>
    </row>
    <row r="2151" spans="1:13">
      <c r="A2151" s="365"/>
      <c r="B2151" s="365"/>
      <c r="C2151" s="365"/>
      <c r="D2151" s="365"/>
      <c r="E2151" s="365"/>
      <c r="F2151" s="357"/>
      <c r="G2151" s="365" t="s">
        <v>1224</v>
      </c>
      <c r="H2151" s="365">
        <v>176</v>
      </c>
      <c r="I2151" s="365">
        <v>16</v>
      </c>
      <c r="J2151" s="365"/>
      <c r="K2151" s="365"/>
      <c r="L2151" s="370" t="str">
        <f t="shared" si="211"/>
        <v>扩展帧CAN消息</v>
      </c>
      <c r="M2151" s="369"/>
    </row>
    <row r="2152" spans="1:13">
      <c r="A2152" s="365"/>
      <c r="B2152" s="365"/>
      <c r="C2152" s="365"/>
      <c r="D2152" s="365"/>
      <c r="E2152" s="365"/>
      <c r="F2152" s="357"/>
      <c r="G2152" s="363" t="s">
        <v>1225</v>
      </c>
      <c r="H2152" s="363">
        <f>H2151+I2151</f>
        <v>192</v>
      </c>
      <c r="I2152" s="363">
        <v>16</v>
      </c>
      <c r="J2152" s="365"/>
      <c r="K2152" s="365"/>
      <c r="L2152" s="370" t="str">
        <f t="shared" si="211"/>
        <v>扩展帧CAN消息</v>
      </c>
      <c r="M2152" s="371"/>
    </row>
    <row r="2153" spans="1:13">
      <c r="A2153" s="372" t="s">
        <v>1228</v>
      </c>
      <c r="B2153" s="372" t="s">
        <v>1229</v>
      </c>
      <c r="C2153" s="373" t="s">
        <v>1230</v>
      </c>
      <c r="D2153" s="374" t="s">
        <v>85</v>
      </c>
      <c r="E2153" s="244">
        <v>7056</v>
      </c>
      <c r="F2153" s="244" t="s">
        <v>1231</v>
      </c>
      <c r="G2153" s="245" t="s">
        <v>18</v>
      </c>
      <c r="H2153" s="246">
        <v>0</v>
      </c>
      <c r="I2153" s="247">
        <v>4</v>
      </c>
      <c r="J2153" s="248" t="s">
        <v>19</v>
      </c>
      <c r="K2153" s="247">
        <v>10</v>
      </c>
      <c r="L2153" s="249"/>
      <c r="M2153" s="244">
        <v>1303202</v>
      </c>
    </row>
    <row r="2154" spans="1:13">
      <c r="A2154" s="372"/>
      <c r="B2154" s="372"/>
      <c r="C2154" s="375"/>
      <c r="D2154" s="376"/>
      <c r="E2154" s="251"/>
      <c r="F2154" s="251"/>
      <c r="G2154" s="245" t="s">
        <v>20</v>
      </c>
      <c r="H2154" s="246">
        <v>4</v>
      </c>
      <c r="I2154" s="247">
        <v>4</v>
      </c>
      <c r="J2154" s="252"/>
      <c r="K2154" s="247"/>
      <c r="L2154" s="249"/>
      <c r="M2154" s="251"/>
    </row>
    <row r="2155" spans="1:13">
      <c r="A2155" s="372"/>
      <c r="B2155" s="372"/>
      <c r="C2155" s="375"/>
      <c r="D2155" s="376"/>
      <c r="E2155" s="251"/>
      <c r="F2155" s="251"/>
      <c r="G2155" s="377" t="s">
        <v>89</v>
      </c>
      <c r="H2155" s="246">
        <v>8</v>
      </c>
      <c r="I2155" s="247">
        <v>4</v>
      </c>
      <c r="J2155" s="252"/>
      <c r="K2155" s="247"/>
      <c r="L2155" s="249"/>
      <c r="M2155" s="251"/>
    </row>
    <row r="2156" spans="1:13">
      <c r="A2156" s="372"/>
      <c r="B2156" s="372"/>
      <c r="C2156" s="378"/>
      <c r="D2156" s="379"/>
      <c r="E2156" s="254"/>
      <c r="F2156" s="254"/>
      <c r="G2156" s="245" t="s">
        <v>196</v>
      </c>
      <c r="H2156" s="246">
        <v>12</v>
      </c>
      <c r="I2156" s="247">
        <v>100</v>
      </c>
      <c r="J2156" s="255"/>
      <c r="K2156" s="247"/>
      <c r="L2156" s="249"/>
      <c r="M2156" s="254"/>
    </row>
    <row r="2157" spans="1:13">
      <c r="A2157" s="372"/>
      <c r="B2157" s="372" t="s">
        <v>1232</v>
      </c>
      <c r="C2157" s="373" t="s">
        <v>1233</v>
      </c>
      <c r="D2157" s="374" t="s">
        <v>85</v>
      </c>
      <c r="E2157" s="244">
        <v>7057</v>
      </c>
      <c r="F2157" s="244" t="s">
        <v>1231</v>
      </c>
      <c r="G2157" s="245" t="s">
        <v>18</v>
      </c>
      <c r="H2157" s="246">
        <v>0</v>
      </c>
      <c r="I2157" s="247">
        <v>4</v>
      </c>
      <c r="J2157" s="248" t="s">
        <v>77</v>
      </c>
      <c r="K2157" s="247">
        <v>10</v>
      </c>
      <c r="L2157" s="249"/>
      <c r="M2157" s="244">
        <v>1103201</v>
      </c>
    </row>
    <row r="2158" spans="1:13">
      <c r="A2158" s="372"/>
      <c r="B2158" s="372"/>
      <c r="C2158" s="375"/>
      <c r="D2158" s="376"/>
      <c r="E2158" s="251"/>
      <c r="F2158" s="251"/>
      <c r="G2158" s="245" t="s">
        <v>20</v>
      </c>
      <c r="H2158" s="246">
        <v>4</v>
      </c>
      <c r="I2158" s="247">
        <v>4</v>
      </c>
      <c r="J2158" s="252"/>
      <c r="K2158" s="247"/>
      <c r="L2158" s="249"/>
      <c r="M2158" s="251"/>
    </row>
    <row r="2159" spans="1:13">
      <c r="A2159" s="372"/>
      <c r="B2159" s="372"/>
      <c r="C2159" s="375"/>
      <c r="D2159" s="376"/>
      <c r="E2159" s="251"/>
      <c r="F2159" s="251"/>
      <c r="G2159" s="377" t="s">
        <v>89</v>
      </c>
      <c r="H2159" s="246">
        <v>8</v>
      </c>
      <c r="I2159" s="247">
        <v>4</v>
      </c>
      <c r="J2159" s="252"/>
      <c r="K2159" s="247"/>
      <c r="L2159" s="249"/>
      <c r="M2159" s="251"/>
    </row>
    <row r="2160" spans="1:13">
      <c r="A2160" s="372"/>
      <c r="B2160" s="372"/>
      <c r="C2160" s="375"/>
      <c r="D2160" s="376"/>
      <c r="E2160" s="251"/>
      <c r="F2160" s="254"/>
      <c r="G2160" s="245" t="s">
        <v>196</v>
      </c>
      <c r="H2160" s="246">
        <v>12</v>
      </c>
      <c r="I2160" s="247">
        <v>100</v>
      </c>
      <c r="J2160" s="255"/>
      <c r="K2160" s="247"/>
      <c r="L2160" s="249"/>
      <c r="M2160" s="254"/>
    </row>
    <row r="2161" customFormat="1" spans="1:13">
      <c r="A2161" s="372" t="s">
        <v>1234</v>
      </c>
      <c r="B2161" s="372" t="s">
        <v>1235</v>
      </c>
      <c r="C2161" s="373" t="s">
        <v>1230</v>
      </c>
      <c r="D2161" s="374" t="s">
        <v>1236</v>
      </c>
      <c r="E2161" s="244">
        <v>7100</v>
      </c>
      <c r="F2161" s="244" t="s">
        <v>1231</v>
      </c>
      <c r="G2161" s="245" t="s">
        <v>18</v>
      </c>
      <c r="H2161" s="246">
        <v>0</v>
      </c>
      <c r="I2161" s="247">
        <v>4</v>
      </c>
      <c r="J2161" s="248" t="s">
        <v>19</v>
      </c>
      <c r="K2161" s="247">
        <v>10</v>
      </c>
      <c r="L2161" s="249"/>
      <c r="M2161" s="244">
        <v>1303204</v>
      </c>
    </row>
    <row r="2162" customFormat="1" spans="1:13">
      <c r="A2162" s="372"/>
      <c r="B2162" s="372"/>
      <c r="C2162" s="375"/>
      <c r="D2162" s="376"/>
      <c r="E2162" s="251"/>
      <c r="F2162" s="251"/>
      <c r="G2162" s="245" t="s">
        <v>20</v>
      </c>
      <c r="H2162" s="246">
        <v>4</v>
      </c>
      <c r="I2162" s="247">
        <v>4</v>
      </c>
      <c r="J2162" s="252"/>
      <c r="K2162" s="247"/>
      <c r="L2162" s="249"/>
      <c r="M2162" s="251"/>
    </row>
    <row r="2163" customFormat="1" spans="1:13">
      <c r="A2163" s="372"/>
      <c r="B2163" s="372"/>
      <c r="C2163" s="375"/>
      <c r="D2163" s="376"/>
      <c r="E2163" s="251"/>
      <c r="F2163" s="251"/>
      <c r="G2163" s="377" t="s">
        <v>89</v>
      </c>
      <c r="H2163" s="246">
        <v>8</v>
      </c>
      <c r="I2163" s="247">
        <v>4</v>
      </c>
      <c r="J2163" s="252"/>
      <c r="K2163" s="247"/>
      <c r="L2163" s="249"/>
      <c r="M2163" s="251"/>
    </row>
    <row r="2164" customFormat="1" spans="1:13">
      <c r="A2164" s="372"/>
      <c r="B2164" s="372"/>
      <c r="C2164" s="378"/>
      <c r="D2164" s="379"/>
      <c r="E2164" s="254"/>
      <c r="F2164" s="254"/>
      <c r="G2164" s="245" t="s">
        <v>196</v>
      </c>
      <c r="H2164" s="246">
        <v>12</v>
      </c>
      <c r="I2164" s="247">
        <v>100</v>
      </c>
      <c r="J2164" s="255"/>
      <c r="K2164" s="247"/>
      <c r="L2164" s="249"/>
      <c r="M2164" s="254"/>
    </row>
    <row r="2165" customFormat="1" spans="1:13">
      <c r="A2165" s="372"/>
      <c r="B2165" s="372" t="s">
        <v>1237</v>
      </c>
      <c r="C2165" s="373" t="s">
        <v>1233</v>
      </c>
      <c r="D2165" s="374" t="s">
        <v>1236</v>
      </c>
      <c r="E2165" s="244">
        <v>7101</v>
      </c>
      <c r="F2165" s="244" t="s">
        <v>1231</v>
      </c>
      <c r="G2165" s="245" t="s">
        <v>18</v>
      </c>
      <c r="H2165" s="246">
        <v>0</v>
      </c>
      <c r="I2165" s="247">
        <v>4</v>
      </c>
      <c r="J2165" s="248" t="s">
        <v>77</v>
      </c>
      <c r="K2165" s="247">
        <v>10</v>
      </c>
      <c r="L2165" s="249"/>
      <c r="M2165" s="244">
        <v>1103203</v>
      </c>
    </row>
    <row r="2166" customFormat="1" spans="1:13">
      <c r="A2166" s="372"/>
      <c r="B2166" s="372"/>
      <c r="C2166" s="375"/>
      <c r="D2166" s="376"/>
      <c r="E2166" s="251"/>
      <c r="F2166" s="251"/>
      <c r="G2166" s="245" t="s">
        <v>20</v>
      </c>
      <c r="H2166" s="246">
        <v>4</v>
      </c>
      <c r="I2166" s="247">
        <v>4</v>
      </c>
      <c r="J2166" s="252"/>
      <c r="K2166" s="247"/>
      <c r="L2166" s="249"/>
      <c r="M2166" s="251"/>
    </row>
    <row r="2167" customFormat="1" spans="1:13">
      <c r="A2167" s="372"/>
      <c r="B2167" s="372"/>
      <c r="C2167" s="375"/>
      <c r="D2167" s="376"/>
      <c r="E2167" s="251"/>
      <c r="F2167" s="251"/>
      <c r="G2167" s="377" t="s">
        <v>89</v>
      </c>
      <c r="H2167" s="246">
        <v>8</v>
      </c>
      <c r="I2167" s="247">
        <v>4</v>
      </c>
      <c r="J2167" s="252"/>
      <c r="K2167" s="247"/>
      <c r="L2167" s="249"/>
      <c r="M2167" s="251"/>
    </row>
    <row r="2168" customFormat="1" spans="1:13">
      <c r="A2168" s="372"/>
      <c r="B2168" s="372"/>
      <c r="C2168" s="375"/>
      <c r="D2168" s="376"/>
      <c r="E2168" s="251"/>
      <c r="F2168" s="254"/>
      <c r="G2168" s="245" t="s">
        <v>196</v>
      </c>
      <c r="H2168" s="246">
        <v>12</v>
      </c>
      <c r="I2168" s="247">
        <v>100</v>
      </c>
      <c r="J2168" s="255"/>
      <c r="K2168" s="247"/>
      <c r="L2168" s="249"/>
      <c r="M2168" s="254"/>
    </row>
    <row r="2169" s="216" customFormat="1" spans="1:13">
      <c r="A2169" s="380" t="s">
        <v>1238</v>
      </c>
      <c r="B2169" s="381" t="s">
        <v>1239</v>
      </c>
      <c r="C2169" s="381" t="s">
        <v>1240</v>
      </c>
      <c r="D2169" s="380" t="s">
        <v>16</v>
      </c>
      <c r="E2169" s="380">
        <v>7077</v>
      </c>
      <c r="F2169" s="380" t="s">
        <v>1241</v>
      </c>
      <c r="G2169" s="173" t="s">
        <v>87</v>
      </c>
      <c r="H2169" s="174">
        <v>0</v>
      </c>
      <c r="I2169" s="174">
        <v>4</v>
      </c>
      <c r="J2169" s="382" t="s">
        <v>71</v>
      </c>
      <c r="K2169" s="380">
        <v>100</v>
      </c>
      <c r="L2169" s="383"/>
      <c r="M2169" s="384">
        <v>1201103</v>
      </c>
    </row>
    <row r="2170" s="216" customFormat="1" spans="1:13">
      <c r="A2170" s="380"/>
      <c r="B2170" s="380"/>
      <c r="C2170" s="380"/>
      <c r="D2170" s="380"/>
      <c r="E2170" s="380"/>
      <c r="F2170" s="380"/>
      <c r="G2170" s="173" t="s">
        <v>88</v>
      </c>
      <c r="H2170" s="174">
        <f>H2169+I2169</f>
        <v>4</v>
      </c>
      <c r="I2170" s="174">
        <v>4</v>
      </c>
      <c r="J2170" s="382"/>
      <c r="K2170" s="380"/>
      <c r="L2170" s="385"/>
      <c r="M2170" s="384"/>
    </row>
    <row r="2171" s="216" customFormat="1" spans="1:13">
      <c r="A2171" s="380"/>
      <c r="B2171" s="380"/>
      <c r="C2171" s="380"/>
      <c r="D2171" s="380"/>
      <c r="E2171" s="380"/>
      <c r="F2171" s="380"/>
      <c r="G2171" s="174" t="s">
        <v>1242</v>
      </c>
      <c r="H2171" s="174">
        <f t="shared" ref="H2171:H2186" si="213">H2170+I2170</f>
        <v>8</v>
      </c>
      <c r="I2171" s="174">
        <v>4</v>
      </c>
      <c r="J2171" s="382"/>
      <c r="K2171" s="380"/>
      <c r="L2171" s="385"/>
      <c r="M2171" s="384"/>
    </row>
    <row r="2172" s="216" customFormat="1" spans="1:13">
      <c r="A2172" s="380"/>
      <c r="B2172" s="380"/>
      <c r="C2172" s="380"/>
      <c r="D2172" s="380"/>
      <c r="E2172" s="380"/>
      <c r="F2172" s="380"/>
      <c r="G2172" s="174" t="s">
        <v>1243</v>
      </c>
      <c r="H2172" s="174">
        <f t="shared" si="213"/>
        <v>12</v>
      </c>
      <c r="I2172" s="174">
        <v>4</v>
      </c>
      <c r="J2172" s="382"/>
      <c r="K2172" s="380"/>
      <c r="L2172" s="385"/>
      <c r="M2172" s="384"/>
    </row>
    <row r="2173" s="216" customFormat="1" spans="1:13">
      <c r="A2173" s="380"/>
      <c r="B2173" s="380"/>
      <c r="C2173" s="380"/>
      <c r="D2173" s="380"/>
      <c r="E2173" s="380"/>
      <c r="F2173" s="380"/>
      <c r="G2173" s="174" t="s">
        <v>1244</v>
      </c>
      <c r="H2173" s="174">
        <f t="shared" si="213"/>
        <v>16</v>
      </c>
      <c r="I2173" s="174">
        <v>4</v>
      </c>
      <c r="J2173" s="382"/>
      <c r="K2173" s="380"/>
      <c r="L2173" s="385"/>
      <c r="M2173" s="384"/>
    </row>
    <row r="2174" s="216" customFormat="1" spans="1:13">
      <c r="A2174" s="380"/>
      <c r="B2174" s="380"/>
      <c r="C2174" s="380"/>
      <c r="D2174" s="380"/>
      <c r="E2174" s="380"/>
      <c r="F2174" s="380"/>
      <c r="G2174" s="174" t="s">
        <v>1245</v>
      </c>
      <c r="H2174" s="174">
        <f t="shared" si="213"/>
        <v>20</v>
      </c>
      <c r="I2174" s="174">
        <v>4</v>
      </c>
      <c r="J2174" s="382"/>
      <c r="K2174" s="380"/>
      <c r="L2174" s="385"/>
      <c r="M2174" s="384"/>
    </row>
    <row r="2175" s="216" customFormat="1" spans="1:13">
      <c r="A2175" s="380"/>
      <c r="B2175" s="380"/>
      <c r="C2175" s="380"/>
      <c r="D2175" s="380"/>
      <c r="E2175" s="380"/>
      <c r="F2175" s="380"/>
      <c r="G2175" s="173" t="s">
        <v>88</v>
      </c>
      <c r="H2175" s="174">
        <f t="shared" si="213"/>
        <v>24</v>
      </c>
      <c r="I2175" s="174">
        <v>4</v>
      </c>
      <c r="J2175" s="382"/>
      <c r="K2175" s="380"/>
      <c r="L2175" s="385"/>
      <c r="M2175" s="384"/>
    </row>
    <row r="2176" s="216" customFormat="1" spans="1:13">
      <c r="A2176" s="380"/>
      <c r="B2176" s="380"/>
      <c r="C2176" s="380"/>
      <c r="D2176" s="380"/>
      <c r="E2176" s="380"/>
      <c r="F2176" s="380"/>
      <c r="G2176" s="174" t="s">
        <v>1246</v>
      </c>
      <c r="H2176" s="174">
        <f t="shared" si="213"/>
        <v>28</v>
      </c>
      <c r="I2176" s="174">
        <v>4</v>
      </c>
      <c r="J2176" s="382"/>
      <c r="K2176" s="380"/>
      <c r="L2176" s="385"/>
      <c r="M2176" s="384"/>
    </row>
    <row r="2177" s="216" customFormat="1" spans="1:13">
      <c r="A2177" s="380"/>
      <c r="B2177" s="380"/>
      <c r="C2177" s="380"/>
      <c r="D2177" s="380"/>
      <c r="E2177" s="380"/>
      <c r="F2177" s="380"/>
      <c r="G2177" s="174" t="s">
        <v>51</v>
      </c>
      <c r="H2177" s="174">
        <f t="shared" si="213"/>
        <v>32</v>
      </c>
      <c r="I2177" s="174">
        <v>4</v>
      </c>
      <c r="J2177" s="382"/>
      <c r="K2177" s="380"/>
      <c r="L2177" s="385"/>
      <c r="M2177" s="384"/>
    </row>
    <row r="2178" s="216" customFormat="1" spans="1:13">
      <c r="A2178" s="380"/>
      <c r="B2178" s="380"/>
      <c r="C2178" s="380"/>
      <c r="D2178" s="380"/>
      <c r="E2178" s="380"/>
      <c r="F2178" s="380"/>
      <c r="G2178" s="174" t="s">
        <v>1247</v>
      </c>
      <c r="H2178" s="174">
        <f t="shared" si="213"/>
        <v>36</v>
      </c>
      <c r="I2178" s="174">
        <v>4</v>
      </c>
      <c r="J2178" s="382"/>
      <c r="K2178" s="380"/>
      <c r="L2178" s="385"/>
      <c r="M2178" s="384"/>
    </row>
    <row r="2179" s="216" customFormat="1" spans="1:13">
      <c r="A2179" s="386"/>
      <c r="B2179" s="386"/>
      <c r="C2179" s="386"/>
      <c r="D2179" s="386"/>
      <c r="E2179" s="386"/>
      <c r="F2179" s="386"/>
      <c r="G2179" s="174" t="s">
        <v>1248</v>
      </c>
      <c r="H2179" s="174">
        <f t="shared" si="213"/>
        <v>40</v>
      </c>
      <c r="I2179" s="174">
        <v>4</v>
      </c>
      <c r="J2179" s="382"/>
      <c r="K2179" s="386"/>
      <c r="L2179" s="385"/>
      <c r="M2179" s="384"/>
    </row>
    <row r="2180" s="216" customFormat="1" spans="1:13">
      <c r="A2180" s="386"/>
      <c r="B2180" s="386"/>
      <c r="C2180" s="386"/>
      <c r="D2180" s="386"/>
      <c r="E2180" s="386"/>
      <c r="F2180" s="386"/>
      <c r="G2180" s="173" t="s">
        <v>88</v>
      </c>
      <c r="H2180" s="174">
        <f t="shared" si="213"/>
        <v>44</v>
      </c>
      <c r="I2180" s="174">
        <v>4</v>
      </c>
      <c r="J2180" s="382"/>
      <c r="K2180" s="386"/>
      <c r="L2180" s="385"/>
      <c r="M2180" s="384"/>
    </row>
    <row r="2181" s="216" customFormat="1" spans="1:13">
      <c r="A2181" s="386"/>
      <c r="B2181" s="386"/>
      <c r="C2181" s="386"/>
      <c r="D2181" s="386"/>
      <c r="E2181" s="386"/>
      <c r="F2181" s="386"/>
      <c r="G2181" s="174" t="s">
        <v>1249</v>
      </c>
      <c r="H2181" s="174">
        <f t="shared" si="213"/>
        <v>48</v>
      </c>
      <c r="I2181" s="174">
        <v>4</v>
      </c>
      <c r="J2181" s="382"/>
      <c r="K2181" s="386"/>
      <c r="L2181" s="385"/>
      <c r="M2181" s="384"/>
    </row>
    <row r="2182" s="216" customFormat="1" spans="1:13">
      <c r="A2182" s="386"/>
      <c r="B2182" s="386"/>
      <c r="C2182" s="386"/>
      <c r="D2182" s="386"/>
      <c r="E2182" s="386"/>
      <c r="F2182" s="386"/>
      <c r="G2182" s="174" t="s">
        <v>1250</v>
      </c>
      <c r="H2182" s="174">
        <f t="shared" si="213"/>
        <v>52</v>
      </c>
      <c r="I2182" s="174">
        <v>4</v>
      </c>
      <c r="J2182" s="382"/>
      <c r="K2182" s="386"/>
      <c r="L2182" s="385"/>
      <c r="M2182" s="384"/>
    </row>
    <row r="2183" s="216" customFormat="1" spans="1:13">
      <c r="A2183" s="386"/>
      <c r="B2183" s="386"/>
      <c r="C2183" s="386"/>
      <c r="D2183" s="386"/>
      <c r="E2183" s="386"/>
      <c r="F2183" s="386"/>
      <c r="G2183" s="174" t="s">
        <v>1251</v>
      </c>
      <c r="H2183" s="174">
        <f t="shared" si="213"/>
        <v>56</v>
      </c>
      <c r="I2183" s="174">
        <v>4</v>
      </c>
      <c r="J2183" s="382"/>
      <c r="K2183" s="386"/>
      <c r="L2183" s="385"/>
      <c r="M2183" s="384"/>
    </row>
    <row r="2184" s="216" customFormat="1" spans="1:13">
      <c r="A2184" s="386"/>
      <c r="B2184" s="386"/>
      <c r="C2184" s="386"/>
      <c r="D2184" s="386"/>
      <c r="E2184" s="386"/>
      <c r="F2184" s="386"/>
      <c r="G2184" s="174" t="s">
        <v>53</v>
      </c>
      <c r="H2184" s="174">
        <f t="shared" si="213"/>
        <v>60</v>
      </c>
      <c r="I2184" s="174">
        <v>4</v>
      </c>
      <c r="J2184" s="382"/>
      <c r="K2184" s="386"/>
      <c r="L2184" s="385"/>
      <c r="M2184" s="384"/>
    </row>
    <row r="2185" s="216" customFormat="1" spans="1:13">
      <c r="A2185" s="386"/>
      <c r="B2185" s="386"/>
      <c r="C2185" s="386"/>
      <c r="D2185" s="386"/>
      <c r="E2185" s="386"/>
      <c r="F2185" s="386"/>
      <c r="G2185" s="173" t="s">
        <v>88</v>
      </c>
      <c r="H2185" s="174">
        <f t="shared" si="213"/>
        <v>64</v>
      </c>
      <c r="I2185" s="174">
        <v>4</v>
      </c>
      <c r="J2185" s="382"/>
      <c r="K2185" s="386"/>
      <c r="L2185" s="385"/>
      <c r="M2185" s="384"/>
    </row>
    <row r="2186" s="216" customFormat="1" spans="1:13">
      <c r="A2186" s="386"/>
      <c r="B2186" s="386"/>
      <c r="C2186" s="386"/>
      <c r="D2186" s="386"/>
      <c r="E2186" s="386"/>
      <c r="F2186" s="386"/>
      <c r="G2186" s="174" t="s">
        <v>1252</v>
      </c>
      <c r="H2186" s="174">
        <f t="shared" si="213"/>
        <v>68</v>
      </c>
      <c r="I2186" s="174">
        <v>4</v>
      </c>
      <c r="J2186" s="382"/>
      <c r="K2186" s="386"/>
      <c r="L2186" s="385"/>
      <c r="M2186" s="384"/>
    </row>
    <row r="2187" spans="1:13">
      <c r="A2187" s="380" t="s">
        <v>1238</v>
      </c>
      <c r="B2187" s="381" t="s">
        <v>1253</v>
      </c>
      <c r="C2187" s="381" t="s">
        <v>1240</v>
      </c>
      <c r="D2187" s="380" t="s">
        <v>211</v>
      </c>
      <c r="E2187" s="380">
        <v>7078</v>
      </c>
      <c r="F2187" s="380" t="s">
        <v>203</v>
      </c>
      <c r="G2187" s="173" t="s">
        <v>87</v>
      </c>
      <c r="H2187" s="174">
        <v>0</v>
      </c>
      <c r="I2187" s="174">
        <v>4</v>
      </c>
      <c r="J2187" s="382" t="s">
        <v>19</v>
      </c>
      <c r="K2187" s="380">
        <v>100</v>
      </c>
      <c r="L2187" s="383" t="s">
        <v>1254</v>
      </c>
      <c r="M2187" s="384">
        <v>1301116</v>
      </c>
    </row>
    <row r="2188" spans="1:13">
      <c r="A2188" s="380"/>
      <c r="B2188" s="380"/>
      <c r="C2188" s="380"/>
      <c r="D2188" s="380"/>
      <c r="E2188" s="380"/>
      <c r="F2188" s="380"/>
      <c r="G2188" s="173" t="s">
        <v>88</v>
      </c>
      <c r="H2188" s="174">
        <f>H2187+I2187</f>
        <v>4</v>
      </c>
      <c r="I2188" s="174">
        <v>4</v>
      </c>
      <c r="J2188" s="382"/>
      <c r="K2188" s="380"/>
      <c r="L2188" s="385"/>
      <c r="M2188" s="384"/>
    </row>
    <row r="2189" spans="1:13">
      <c r="A2189" s="380"/>
      <c r="B2189" s="380"/>
      <c r="C2189" s="380"/>
      <c r="D2189" s="380"/>
      <c r="E2189" s="380"/>
      <c r="F2189" s="380"/>
      <c r="G2189" s="174" t="s">
        <v>22</v>
      </c>
      <c r="H2189" s="174">
        <f>H2188+I2188</f>
        <v>8</v>
      </c>
      <c r="I2189" s="174">
        <v>4</v>
      </c>
      <c r="J2189" s="382"/>
      <c r="K2189" s="380"/>
      <c r="L2189" s="385"/>
      <c r="M2189" s="384"/>
    </row>
    <row r="2190" spans="1:13">
      <c r="A2190" s="380" t="s">
        <v>1255</v>
      </c>
      <c r="B2190" s="381" t="s">
        <v>1256</v>
      </c>
      <c r="C2190" s="381" t="s">
        <v>1257</v>
      </c>
      <c r="D2190" s="380" t="s">
        <v>16</v>
      </c>
      <c r="E2190" s="380">
        <v>7079</v>
      </c>
      <c r="F2190" s="380" t="s">
        <v>1241</v>
      </c>
      <c r="G2190" s="173" t="s">
        <v>87</v>
      </c>
      <c r="H2190" s="174">
        <v>0</v>
      </c>
      <c r="I2190" s="174">
        <v>4</v>
      </c>
      <c r="J2190" s="382" t="s">
        <v>71</v>
      </c>
      <c r="K2190" s="380">
        <v>100</v>
      </c>
      <c r="L2190" s="383"/>
      <c r="M2190" s="384">
        <v>1201102</v>
      </c>
    </row>
    <row r="2191" spans="1:13">
      <c r="A2191" s="380"/>
      <c r="B2191" s="380"/>
      <c r="C2191" s="380"/>
      <c r="D2191" s="380"/>
      <c r="E2191" s="380"/>
      <c r="F2191" s="380"/>
      <c r="G2191" s="173" t="s">
        <v>88</v>
      </c>
      <c r="H2191" s="174">
        <f t="shared" ref="H2191:H2207" si="214">H2190+I2190</f>
        <v>4</v>
      </c>
      <c r="I2191" s="174">
        <v>4</v>
      </c>
      <c r="J2191" s="382"/>
      <c r="K2191" s="380"/>
      <c r="L2191" s="385"/>
      <c r="M2191" s="384"/>
    </row>
    <row r="2192" spans="1:13">
      <c r="A2192" s="380"/>
      <c r="B2192" s="380"/>
      <c r="C2192" s="380"/>
      <c r="D2192" s="380"/>
      <c r="E2192" s="380"/>
      <c r="F2192" s="380"/>
      <c r="G2192" s="174" t="s">
        <v>1242</v>
      </c>
      <c r="H2192" s="174">
        <f t="shared" si="214"/>
        <v>8</v>
      </c>
      <c r="I2192" s="174">
        <v>4</v>
      </c>
      <c r="J2192" s="382"/>
      <c r="K2192" s="380"/>
      <c r="L2192" s="385"/>
      <c r="M2192" s="384"/>
    </row>
    <row r="2193" spans="1:13">
      <c r="A2193" s="380"/>
      <c r="B2193" s="380"/>
      <c r="C2193" s="380"/>
      <c r="D2193" s="380"/>
      <c r="E2193" s="380"/>
      <c r="F2193" s="380"/>
      <c r="G2193" s="174" t="s">
        <v>1243</v>
      </c>
      <c r="H2193" s="174">
        <f t="shared" si="214"/>
        <v>12</v>
      </c>
      <c r="I2193" s="174">
        <v>4</v>
      </c>
      <c r="J2193" s="382"/>
      <c r="K2193" s="380"/>
      <c r="L2193" s="385"/>
      <c r="M2193" s="384"/>
    </row>
    <row r="2194" spans="1:13">
      <c r="A2194" s="380"/>
      <c r="B2194" s="380"/>
      <c r="C2194" s="380"/>
      <c r="D2194" s="380"/>
      <c r="E2194" s="380"/>
      <c r="F2194" s="380"/>
      <c r="G2194" s="174" t="s">
        <v>1244</v>
      </c>
      <c r="H2194" s="174">
        <f t="shared" si="214"/>
        <v>16</v>
      </c>
      <c r="I2194" s="174">
        <v>4</v>
      </c>
      <c r="J2194" s="382"/>
      <c r="K2194" s="380"/>
      <c r="L2194" s="385"/>
      <c r="M2194" s="384"/>
    </row>
    <row r="2195" s="211" customFormat="1" ht="19" customHeight="1" spans="1:13">
      <c r="A2195" s="380"/>
      <c r="B2195" s="380"/>
      <c r="C2195" s="380"/>
      <c r="D2195" s="380"/>
      <c r="E2195" s="380"/>
      <c r="F2195" s="380"/>
      <c r="G2195" s="174" t="s">
        <v>1245</v>
      </c>
      <c r="H2195" s="174">
        <f t="shared" si="214"/>
        <v>20</v>
      </c>
      <c r="I2195" s="174">
        <v>4</v>
      </c>
      <c r="J2195" s="382"/>
      <c r="K2195" s="380"/>
      <c r="L2195" s="385"/>
      <c r="M2195" s="384"/>
    </row>
    <row r="2196" s="211" customFormat="1" spans="1:13">
      <c r="A2196" s="380"/>
      <c r="B2196" s="380"/>
      <c r="C2196" s="380"/>
      <c r="D2196" s="380"/>
      <c r="E2196" s="380"/>
      <c r="F2196" s="380"/>
      <c r="G2196" s="173" t="s">
        <v>88</v>
      </c>
      <c r="H2196" s="174">
        <f t="shared" si="214"/>
        <v>24</v>
      </c>
      <c r="I2196" s="174">
        <v>4</v>
      </c>
      <c r="J2196" s="382"/>
      <c r="K2196" s="380"/>
      <c r="L2196" s="385"/>
      <c r="M2196" s="384"/>
    </row>
    <row r="2197" s="211" customFormat="1" ht="13.8" spans="1:13">
      <c r="A2197" s="380"/>
      <c r="B2197" s="380"/>
      <c r="C2197" s="380"/>
      <c r="D2197" s="380"/>
      <c r="E2197" s="380"/>
      <c r="F2197" s="380"/>
      <c r="G2197" s="174" t="s">
        <v>1246</v>
      </c>
      <c r="H2197" s="174">
        <f t="shared" si="214"/>
        <v>28</v>
      </c>
      <c r="I2197" s="174">
        <v>4</v>
      </c>
      <c r="J2197" s="382"/>
      <c r="K2197" s="380"/>
      <c r="L2197" s="385"/>
      <c r="M2197" s="384"/>
    </row>
    <row r="2198" s="211" customFormat="1" ht="13.8" spans="1:13">
      <c r="A2198" s="380"/>
      <c r="B2198" s="380"/>
      <c r="C2198" s="380"/>
      <c r="D2198" s="380"/>
      <c r="E2198" s="380"/>
      <c r="F2198" s="380"/>
      <c r="G2198" s="174" t="s">
        <v>51</v>
      </c>
      <c r="H2198" s="174">
        <f t="shared" si="214"/>
        <v>32</v>
      </c>
      <c r="I2198" s="174">
        <v>4</v>
      </c>
      <c r="J2198" s="382"/>
      <c r="K2198" s="380"/>
      <c r="L2198" s="385"/>
      <c r="M2198" s="384"/>
    </row>
    <row r="2199" s="211" customFormat="1" ht="13.8" spans="1:13">
      <c r="A2199" s="380"/>
      <c r="B2199" s="380"/>
      <c r="C2199" s="380"/>
      <c r="D2199" s="380"/>
      <c r="E2199" s="380"/>
      <c r="F2199" s="380"/>
      <c r="G2199" s="174" t="s">
        <v>1247</v>
      </c>
      <c r="H2199" s="174">
        <f t="shared" si="214"/>
        <v>36</v>
      </c>
      <c r="I2199" s="174">
        <v>4</v>
      </c>
      <c r="J2199" s="382"/>
      <c r="K2199" s="380"/>
      <c r="L2199" s="385"/>
      <c r="M2199" s="384"/>
    </row>
    <row r="2200" s="211" customFormat="1" ht="13.8" spans="1:13">
      <c r="A2200" s="380"/>
      <c r="B2200" s="380"/>
      <c r="C2200" s="380"/>
      <c r="D2200" s="380"/>
      <c r="E2200" s="380"/>
      <c r="F2200" s="380"/>
      <c r="G2200" s="174" t="s">
        <v>1248</v>
      </c>
      <c r="H2200" s="174">
        <f t="shared" si="214"/>
        <v>40</v>
      </c>
      <c r="I2200" s="174">
        <v>4</v>
      </c>
      <c r="J2200" s="382"/>
      <c r="K2200" s="380"/>
      <c r="L2200" s="385"/>
      <c r="M2200" s="384"/>
    </row>
    <row r="2201" s="211" customFormat="1" spans="1:13">
      <c r="A2201" s="380"/>
      <c r="B2201" s="380"/>
      <c r="C2201" s="380"/>
      <c r="D2201" s="380"/>
      <c r="E2201" s="380"/>
      <c r="F2201" s="380"/>
      <c r="G2201" s="173" t="s">
        <v>88</v>
      </c>
      <c r="H2201" s="174">
        <f t="shared" si="214"/>
        <v>44</v>
      </c>
      <c r="I2201" s="174">
        <v>4</v>
      </c>
      <c r="J2201" s="382"/>
      <c r="K2201" s="380"/>
      <c r="L2201" s="385"/>
      <c r="M2201" s="384"/>
    </row>
    <row r="2202" s="211" customFormat="1" ht="13.8" spans="1:13">
      <c r="A2202" s="386"/>
      <c r="B2202" s="386"/>
      <c r="C2202" s="386"/>
      <c r="D2202" s="386"/>
      <c r="E2202" s="386"/>
      <c r="F2202" s="386"/>
      <c r="G2202" s="174" t="s">
        <v>1249</v>
      </c>
      <c r="H2202" s="174">
        <f t="shared" si="214"/>
        <v>48</v>
      </c>
      <c r="I2202" s="174">
        <v>4</v>
      </c>
      <c r="J2202" s="382"/>
      <c r="K2202" s="386"/>
      <c r="L2202" s="385"/>
      <c r="M2202" s="384"/>
    </row>
    <row r="2203" s="211" customFormat="1" ht="13.8" spans="1:13">
      <c r="A2203" s="386"/>
      <c r="B2203" s="386"/>
      <c r="C2203" s="386"/>
      <c r="D2203" s="386"/>
      <c r="E2203" s="386"/>
      <c r="F2203" s="386"/>
      <c r="G2203" s="174" t="s">
        <v>1250</v>
      </c>
      <c r="H2203" s="174">
        <f t="shared" si="214"/>
        <v>52</v>
      </c>
      <c r="I2203" s="174">
        <v>4</v>
      </c>
      <c r="J2203" s="382"/>
      <c r="K2203" s="386"/>
      <c r="L2203" s="385"/>
      <c r="M2203" s="384"/>
    </row>
    <row r="2204" s="211" customFormat="1" ht="13.8" spans="1:13">
      <c r="A2204" s="386"/>
      <c r="B2204" s="386"/>
      <c r="C2204" s="386"/>
      <c r="D2204" s="386"/>
      <c r="E2204" s="386"/>
      <c r="F2204" s="386"/>
      <c r="G2204" s="174" t="s">
        <v>1251</v>
      </c>
      <c r="H2204" s="174">
        <f t="shared" si="214"/>
        <v>56</v>
      </c>
      <c r="I2204" s="174">
        <v>4</v>
      </c>
      <c r="J2204" s="382"/>
      <c r="K2204" s="386"/>
      <c r="L2204" s="385"/>
      <c r="M2204" s="384"/>
    </row>
    <row r="2205" s="211" customFormat="1" ht="13.8" spans="1:13">
      <c r="A2205" s="386"/>
      <c r="B2205" s="386"/>
      <c r="C2205" s="386"/>
      <c r="D2205" s="386"/>
      <c r="E2205" s="386"/>
      <c r="F2205" s="386"/>
      <c r="G2205" s="174" t="s">
        <v>53</v>
      </c>
      <c r="H2205" s="174">
        <f t="shared" si="214"/>
        <v>60</v>
      </c>
      <c r="I2205" s="174">
        <v>4</v>
      </c>
      <c r="J2205" s="382"/>
      <c r="K2205" s="386"/>
      <c r="L2205" s="385"/>
      <c r="M2205" s="384"/>
    </row>
    <row r="2206" s="211" customFormat="1" spans="1:13">
      <c r="A2206" s="386"/>
      <c r="B2206" s="386"/>
      <c r="C2206" s="386"/>
      <c r="D2206" s="386"/>
      <c r="E2206" s="386"/>
      <c r="F2206" s="386"/>
      <c r="G2206" s="173" t="s">
        <v>88</v>
      </c>
      <c r="H2206" s="174">
        <f t="shared" si="214"/>
        <v>64</v>
      </c>
      <c r="I2206" s="174">
        <v>4</v>
      </c>
      <c r="J2206" s="382"/>
      <c r="K2206" s="386"/>
      <c r="L2206" s="385"/>
      <c r="M2206" s="384"/>
    </row>
    <row r="2207" s="211" customFormat="1" ht="13.8" spans="1:13">
      <c r="A2207" s="386"/>
      <c r="B2207" s="386"/>
      <c r="C2207" s="386"/>
      <c r="D2207" s="386"/>
      <c r="E2207" s="386"/>
      <c r="F2207" s="386"/>
      <c r="G2207" s="174" t="s">
        <v>1252</v>
      </c>
      <c r="H2207" s="174">
        <f t="shared" si="214"/>
        <v>68</v>
      </c>
      <c r="I2207" s="174">
        <v>4</v>
      </c>
      <c r="J2207" s="382"/>
      <c r="K2207" s="386"/>
      <c r="L2207" s="385"/>
      <c r="M2207" s="384"/>
    </row>
    <row r="2208" s="211" customFormat="1" spans="1:13">
      <c r="A2208" s="380" t="s">
        <v>1255</v>
      </c>
      <c r="B2208" s="381" t="s">
        <v>1258</v>
      </c>
      <c r="C2208" s="381" t="s">
        <v>1257</v>
      </c>
      <c r="D2208" s="380" t="s">
        <v>211</v>
      </c>
      <c r="E2208" s="380">
        <v>7080</v>
      </c>
      <c r="F2208" s="380" t="s">
        <v>203</v>
      </c>
      <c r="G2208" s="173" t="s">
        <v>87</v>
      </c>
      <c r="H2208" s="174">
        <v>0</v>
      </c>
      <c r="I2208" s="174">
        <v>4</v>
      </c>
      <c r="J2208" s="382" t="s">
        <v>77</v>
      </c>
      <c r="K2208" s="380">
        <v>100</v>
      </c>
      <c r="L2208" s="383" t="s">
        <v>1259</v>
      </c>
      <c r="M2208" s="384">
        <v>1101106</v>
      </c>
    </row>
    <row r="2209" s="211" customFormat="1" spans="1:13">
      <c r="A2209" s="380"/>
      <c r="B2209" s="380"/>
      <c r="C2209" s="380"/>
      <c r="D2209" s="380"/>
      <c r="E2209" s="380"/>
      <c r="F2209" s="380"/>
      <c r="G2209" s="173" t="s">
        <v>88</v>
      </c>
      <c r="H2209" s="174">
        <f>H2208+I2208</f>
        <v>4</v>
      </c>
      <c r="I2209" s="174">
        <v>4</v>
      </c>
      <c r="J2209" s="382"/>
      <c r="K2209" s="380"/>
      <c r="L2209" s="385"/>
      <c r="M2209" s="384"/>
    </row>
    <row r="2210" s="211" customFormat="1" ht="13.8" spans="1:13">
      <c r="A2210" s="380"/>
      <c r="B2210" s="380"/>
      <c r="C2210" s="380"/>
      <c r="D2210" s="380"/>
      <c r="E2210" s="380"/>
      <c r="F2210" s="380"/>
      <c r="G2210" s="387" t="s">
        <v>1260</v>
      </c>
      <c r="H2210" s="174">
        <f>H2209+I2209</f>
        <v>8</v>
      </c>
      <c r="I2210" s="174">
        <v>4</v>
      </c>
      <c r="J2210" s="382"/>
      <c r="K2210" s="380"/>
      <c r="L2210" s="385"/>
      <c r="M2210" s="384"/>
    </row>
    <row r="2211" s="211" customFormat="1" spans="1:13">
      <c r="A2211" s="388" t="s">
        <v>1261</v>
      </c>
      <c r="B2211" s="388" t="s">
        <v>1262</v>
      </c>
      <c r="C2211" s="388" t="s">
        <v>1263</v>
      </c>
      <c r="D2211" s="389" t="s">
        <v>16</v>
      </c>
      <c r="E2211" s="389">
        <v>7087</v>
      </c>
      <c r="F2211" s="389" t="s">
        <v>1264</v>
      </c>
      <c r="G2211" s="167" t="s">
        <v>87</v>
      </c>
      <c r="H2211" s="167">
        <v>0</v>
      </c>
      <c r="I2211" s="167">
        <v>4</v>
      </c>
      <c r="J2211" s="389" t="s">
        <v>97</v>
      </c>
      <c r="K2211" s="389">
        <v>100</v>
      </c>
      <c r="L2211" s="390"/>
      <c r="M2211" s="389">
        <v>1401105</v>
      </c>
    </row>
    <row r="2212" s="211" customFormat="1" spans="1:13">
      <c r="A2212" s="391"/>
      <c r="B2212" s="391"/>
      <c r="C2212" s="391"/>
      <c r="D2212" s="391"/>
      <c r="E2212" s="391"/>
      <c r="F2212" s="391"/>
      <c r="G2212" s="167" t="s">
        <v>88</v>
      </c>
      <c r="H2212" s="167">
        <f t="shared" ref="H2212:H2231" si="215">H2211+I2211</f>
        <v>4</v>
      </c>
      <c r="I2212" s="167">
        <v>4</v>
      </c>
      <c r="J2212" s="391"/>
      <c r="K2212" s="391"/>
      <c r="L2212" s="392"/>
      <c r="M2212" s="391"/>
    </row>
    <row r="2213" s="211" customFormat="1" ht="13.8" spans="1:13">
      <c r="A2213" s="391"/>
      <c r="B2213" s="391"/>
      <c r="C2213" s="391"/>
      <c r="D2213" s="391"/>
      <c r="E2213" s="391"/>
      <c r="F2213" s="391"/>
      <c r="G2213" s="167" t="s">
        <v>1265</v>
      </c>
      <c r="H2213" s="167">
        <f t="shared" si="215"/>
        <v>8</v>
      </c>
      <c r="I2213" s="167">
        <v>4</v>
      </c>
      <c r="J2213" s="391"/>
      <c r="K2213" s="391"/>
      <c r="L2213" s="392"/>
      <c r="M2213" s="391"/>
    </row>
    <row r="2214" s="211" customFormat="1" ht="13.8" spans="1:13">
      <c r="A2214" s="391"/>
      <c r="B2214" s="391"/>
      <c r="C2214" s="391"/>
      <c r="D2214" s="391"/>
      <c r="E2214" s="391"/>
      <c r="F2214" s="391"/>
      <c r="G2214" s="167" t="s">
        <v>1247</v>
      </c>
      <c r="H2214" s="167">
        <f t="shared" si="215"/>
        <v>12</v>
      </c>
      <c r="I2214" s="167">
        <v>4</v>
      </c>
      <c r="J2214" s="391"/>
      <c r="K2214" s="391"/>
      <c r="L2214" s="392"/>
      <c r="M2214" s="391"/>
    </row>
    <row r="2215" s="211" customFormat="1" ht="13.8" spans="1:13">
      <c r="A2215" s="391"/>
      <c r="B2215" s="391"/>
      <c r="C2215" s="391"/>
      <c r="D2215" s="391"/>
      <c r="E2215" s="391"/>
      <c r="F2215" s="391"/>
      <c r="G2215" s="167" t="s">
        <v>1266</v>
      </c>
      <c r="H2215" s="167">
        <f t="shared" si="215"/>
        <v>16</v>
      </c>
      <c r="I2215" s="167">
        <v>4</v>
      </c>
      <c r="J2215" s="391"/>
      <c r="K2215" s="391"/>
      <c r="L2215" s="392"/>
      <c r="M2215" s="391"/>
    </row>
    <row r="2216" s="211" customFormat="1" ht="13.8" spans="1:13">
      <c r="A2216" s="391"/>
      <c r="B2216" s="391"/>
      <c r="C2216" s="391"/>
      <c r="D2216" s="391"/>
      <c r="E2216" s="391"/>
      <c r="F2216" s="391"/>
      <c r="G2216" s="167" t="s">
        <v>1267</v>
      </c>
      <c r="H2216" s="167">
        <f t="shared" si="215"/>
        <v>20</v>
      </c>
      <c r="I2216" s="167">
        <v>4</v>
      </c>
      <c r="J2216" s="391"/>
      <c r="K2216" s="391"/>
      <c r="L2216" s="392"/>
      <c r="M2216" s="391"/>
    </row>
    <row r="2217" s="211" customFormat="1" spans="1:13">
      <c r="A2217" s="391"/>
      <c r="B2217" s="391"/>
      <c r="C2217" s="391"/>
      <c r="D2217" s="391"/>
      <c r="E2217" s="391"/>
      <c r="F2217" s="391"/>
      <c r="G2217" s="167" t="s">
        <v>88</v>
      </c>
      <c r="H2217" s="167">
        <f t="shared" si="215"/>
        <v>24</v>
      </c>
      <c r="I2217" s="167">
        <v>4</v>
      </c>
      <c r="J2217" s="391"/>
      <c r="K2217" s="391"/>
      <c r="L2217" s="392"/>
      <c r="M2217" s="391"/>
    </row>
    <row r="2218" s="211" customFormat="1" ht="13.8" spans="1:13">
      <c r="A2218" s="391"/>
      <c r="B2218" s="391"/>
      <c r="C2218" s="391"/>
      <c r="D2218" s="391"/>
      <c r="E2218" s="391"/>
      <c r="F2218" s="391"/>
      <c r="G2218" s="167" t="s">
        <v>1268</v>
      </c>
      <c r="H2218" s="167">
        <f t="shared" si="215"/>
        <v>28</v>
      </c>
      <c r="I2218" s="167">
        <v>4</v>
      </c>
      <c r="J2218" s="391"/>
      <c r="K2218" s="391"/>
      <c r="L2218" s="392"/>
      <c r="M2218" s="391"/>
    </row>
    <row r="2219" s="211" customFormat="1" ht="13.8" spans="1:13">
      <c r="A2219" s="391"/>
      <c r="B2219" s="391"/>
      <c r="C2219" s="391"/>
      <c r="D2219" s="391"/>
      <c r="E2219" s="391"/>
      <c r="F2219" s="391"/>
      <c r="G2219" s="167" t="s">
        <v>1269</v>
      </c>
      <c r="H2219" s="167">
        <f t="shared" si="215"/>
        <v>32</v>
      </c>
      <c r="I2219" s="167">
        <v>4</v>
      </c>
      <c r="J2219" s="391"/>
      <c r="K2219" s="391"/>
      <c r="L2219" s="392"/>
      <c r="M2219" s="391"/>
    </row>
    <row r="2220" s="211" customFormat="1" ht="13.8" spans="1:13">
      <c r="A2220" s="391"/>
      <c r="B2220" s="391"/>
      <c r="C2220" s="391"/>
      <c r="D2220" s="391"/>
      <c r="E2220" s="391"/>
      <c r="F2220" s="391"/>
      <c r="G2220" s="167" t="s">
        <v>1270</v>
      </c>
      <c r="H2220" s="167">
        <f t="shared" si="215"/>
        <v>36</v>
      </c>
      <c r="I2220" s="167">
        <v>4</v>
      </c>
      <c r="J2220" s="391"/>
      <c r="K2220" s="391"/>
      <c r="L2220" s="392"/>
      <c r="M2220" s="391"/>
    </row>
    <row r="2221" s="211" customFormat="1" ht="13.8" spans="1:13">
      <c r="A2221" s="391"/>
      <c r="B2221" s="391"/>
      <c r="C2221" s="391"/>
      <c r="D2221" s="391"/>
      <c r="E2221" s="391"/>
      <c r="F2221" s="391"/>
      <c r="G2221" s="167" t="s">
        <v>1271</v>
      </c>
      <c r="H2221" s="167">
        <f t="shared" si="215"/>
        <v>40</v>
      </c>
      <c r="I2221" s="167">
        <v>4</v>
      </c>
      <c r="J2221" s="391"/>
      <c r="K2221" s="391"/>
      <c r="L2221" s="392"/>
      <c r="M2221" s="391"/>
    </row>
    <row r="2222" s="211" customFormat="1" spans="1:13">
      <c r="A2222" s="391"/>
      <c r="B2222" s="391"/>
      <c r="C2222" s="391"/>
      <c r="D2222" s="391"/>
      <c r="E2222" s="391"/>
      <c r="F2222" s="391"/>
      <c r="G2222" s="167" t="s">
        <v>88</v>
      </c>
      <c r="H2222" s="167">
        <f t="shared" si="215"/>
        <v>44</v>
      </c>
      <c r="I2222" s="167">
        <v>4</v>
      </c>
      <c r="J2222" s="391"/>
      <c r="K2222" s="391"/>
      <c r="L2222" s="392"/>
      <c r="M2222" s="391"/>
    </row>
    <row r="2223" s="211" customFormat="1" ht="13.8" spans="1:13">
      <c r="A2223" s="391"/>
      <c r="B2223" s="391"/>
      <c r="C2223" s="391"/>
      <c r="D2223" s="391"/>
      <c r="E2223" s="391"/>
      <c r="F2223" s="391"/>
      <c r="G2223" s="167" t="s">
        <v>1272</v>
      </c>
      <c r="H2223" s="167">
        <f t="shared" si="215"/>
        <v>48</v>
      </c>
      <c r="I2223" s="167">
        <v>4</v>
      </c>
      <c r="J2223" s="391"/>
      <c r="K2223" s="391"/>
      <c r="L2223" s="392"/>
      <c r="M2223" s="391"/>
    </row>
    <row r="2224" s="211" customFormat="1" ht="13.8" spans="1:13">
      <c r="A2224" s="391"/>
      <c r="B2224" s="391"/>
      <c r="C2224" s="391"/>
      <c r="D2224" s="391"/>
      <c r="E2224" s="391"/>
      <c r="F2224" s="391"/>
      <c r="G2224" s="167" t="s">
        <v>1273</v>
      </c>
      <c r="H2224" s="167">
        <f t="shared" si="215"/>
        <v>52</v>
      </c>
      <c r="I2224" s="167">
        <v>4</v>
      </c>
      <c r="J2224" s="391"/>
      <c r="K2224" s="391"/>
      <c r="L2224" s="392"/>
      <c r="M2224" s="391"/>
    </row>
    <row r="2225" s="211" customFormat="1" ht="13.8" spans="1:13">
      <c r="A2225" s="391"/>
      <c r="B2225" s="391"/>
      <c r="C2225" s="391"/>
      <c r="D2225" s="391"/>
      <c r="E2225" s="391"/>
      <c r="F2225" s="391"/>
      <c r="G2225" s="167" t="s">
        <v>1274</v>
      </c>
      <c r="H2225" s="167">
        <f t="shared" si="215"/>
        <v>56</v>
      </c>
      <c r="I2225" s="167">
        <v>4</v>
      </c>
      <c r="J2225" s="391"/>
      <c r="K2225" s="391"/>
      <c r="L2225" s="392"/>
      <c r="M2225" s="391"/>
    </row>
    <row r="2226" s="211" customFormat="1" ht="13.8" spans="1:13">
      <c r="A2226" s="391"/>
      <c r="B2226" s="391"/>
      <c r="C2226" s="391"/>
      <c r="D2226" s="391"/>
      <c r="E2226" s="391"/>
      <c r="F2226" s="391"/>
      <c r="G2226" s="167" t="s">
        <v>1275</v>
      </c>
      <c r="H2226" s="167">
        <f t="shared" si="215"/>
        <v>60</v>
      </c>
      <c r="I2226" s="167">
        <v>4</v>
      </c>
      <c r="J2226" s="391"/>
      <c r="K2226" s="391"/>
      <c r="L2226" s="392"/>
      <c r="M2226" s="391"/>
    </row>
    <row r="2227" s="211" customFormat="1" spans="1:13">
      <c r="A2227" s="391"/>
      <c r="B2227" s="391"/>
      <c r="C2227" s="391"/>
      <c r="D2227" s="391"/>
      <c r="E2227" s="391"/>
      <c r="F2227" s="391"/>
      <c r="G2227" s="167" t="s">
        <v>88</v>
      </c>
      <c r="H2227" s="167">
        <f t="shared" si="215"/>
        <v>64</v>
      </c>
      <c r="I2227" s="167">
        <v>4</v>
      </c>
      <c r="J2227" s="391"/>
      <c r="K2227" s="391"/>
      <c r="L2227" s="392"/>
      <c r="M2227" s="391"/>
    </row>
    <row r="2228" s="211" customFormat="1" ht="13.8" spans="1:13">
      <c r="A2228" s="391"/>
      <c r="B2228" s="391"/>
      <c r="C2228" s="391"/>
      <c r="D2228" s="391"/>
      <c r="E2228" s="391"/>
      <c r="F2228" s="391"/>
      <c r="G2228" s="167" t="s">
        <v>1276</v>
      </c>
      <c r="H2228" s="167">
        <f t="shared" si="215"/>
        <v>68</v>
      </c>
      <c r="I2228" s="167">
        <v>4</v>
      </c>
      <c r="J2228" s="391"/>
      <c r="K2228" s="391"/>
      <c r="L2228" s="392"/>
      <c r="M2228" s="391"/>
    </row>
    <row r="2229" s="211" customFormat="1" ht="13.8" spans="1:13">
      <c r="A2229" s="391"/>
      <c r="B2229" s="391"/>
      <c r="C2229" s="391"/>
      <c r="D2229" s="391"/>
      <c r="E2229" s="391"/>
      <c r="F2229" s="391"/>
      <c r="G2229" s="167" t="s">
        <v>1277</v>
      </c>
      <c r="H2229" s="167">
        <f t="shared" si="215"/>
        <v>72</v>
      </c>
      <c r="I2229" s="167">
        <v>4</v>
      </c>
      <c r="J2229" s="391"/>
      <c r="K2229" s="391"/>
      <c r="L2229" s="392"/>
      <c r="M2229" s="391"/>
    </row>
    <row r="2230" s="211" customFormat="1" ht="13.8" spans="1:13">
      <c r="A2230" s="391"/>
      <c r="B2230" s="391"/>
      <c r="C2230" s="391"/>
      <c r="D2230" s="391"/>
      <c r="E2230" s="391"/>
      <c r="F2230" s="391"/>
      <c r="G2230" s="167" t="s">
        <v>1278</v>
      </c>
      <c r="H2230" s="167">
        <f t="shared" si="215"/>
        <v>76</v>
      </c>
      <c r="I2230" s="167">
        <v>4</v>
      </c>
      <c r="J2230" s="391"/>
      <c r="K2230" s="391"/>
      <c r="L2230" s="392"/>
      <c r="M2230" s="391"/>
    </row>
    <row r="2231" s="211" customFormat="1" ht="13.8" spans="1:13">
      <c r="A2231" s="391"/>
      <c r="B2231" s="391"/>
      <c r="C2231" s="391"/>
      <c r="D2231" s="391"/>
      <c r="E2231" s="391"/>
      <c r="F2231" s="391"/>
      <c r="G2231" s="167" t="s">
        <v>1279</v>
      </c>
      <c r="H2231" s="167">
        <f t="shared" si="215"/>
        <v>80</v>
      </c>
      <c r="I2231" s="167">
        <v>4</v>
      </c>
      <c r="J2231" s="391"/>
      <c r="K2231" s="391"/>
      <c r="L2231" s="392"/>
      <c r="M2231" s="391"/>
    </row>
    <row r="2232" s="211" customFormat="1" spans="1:13">
      <c r="A2232" s="391"/>
      <c r="B2232" s="391"/>
      <c r="C2232" s="391"/>
      <c r="D2232" s="391"/>
      <c r="E2232" s="391"/>
      <c r="F2232" s="391"/>
      <c r="G2232" s="167" t="s">
        <v>88</v>
      </c>
      <c r="H2232" s="167">
        <f t="shared" ref="H2232:H2254" si="216">H2231+I2231</f>
        <v>84</v>
      </c>
      <c r="I2232" s="167">
        <v>4</v>
      </c>
      <c r="J2232" s="391"/>
      <c r="K2232" s="391"/>
      <c r="L2232" s="392"/>
      <c r="M2232" s="391"/>
    </row>
    <row r="2233" s="211" customFormat="1" ht="13.8" spans="1:13">
      <c r="A2233" s="391"/>
      <c r="B2233" s="391"/>
      <c r="C2233" s="391"/>
      <c r="D2233" s="391"/>
      <c r="E2233" s="391"/>
      <c r="F2233" s="391"/>
      <c r="G2233" s="167" t="s">
        <v>1280</v>
      </c>
      <c r="H2233" s="167">
        <f t="shared" si="216"/>
        <v>88</v>
      </c>
      <c r="I2233" s="167">
        <v>4</v>
      </c>
      <c r="J2233" s="391"/>
      <c r="K2233" s="391"/>
      <c r="L2233" s="392"/>
      <c r="M2233" s="391"/>
    </row>
    <row r="2234" s="211" customFormat="1" ht="13.8" spans="1:13">
      <c r="A2234" s="391"/>
      <c r="B2234" s="391"/>
      <c r="C2234" s="391"/>
      <c r="D2234" s="391"/>
      <c r="E2234" s="391"/>
      <c r="F2234" s="391"/>
      <c r="G2234" s="167" t="s">
        <v>207</v>
      </c>
      <c r="H2234" s="167">
        <f t="shared" si="216"/>
        <v>92</v>
      </c>
      <c r="I2234" s="167">
        <v>4</v>
      </c>
      <c r="J2234" s="391"/>
      <c r="K2234" s="391"/>
      <c r="L2234" s="392"/>
      <c r="M2234" s="391"/>
    </row>
    <row r="2235" s="211" customFormat="1" ht="13.8" spans="1:13">
      <c r="A2235" s="391"/>
      <c r="B2235" s="391"/>
      <c r="C2235" s="391"/>
      <c r="D2235" s="391"/>
      <c r="E2235" s="391"/>
      <c r="F2235" s="391"/>
      <c r="G2235" s="167" t="s">
        <v>1260</v>
      </c>
      <c r="H2235" s="167">
        <f t="shared" si="216"/>
        <v>96</v>
      </c>
      <c r="I2235" s="167">
        <v>4</v>
      </c>
      <c r="J2235" s="391"/>
      <c r="K2235" s="391"/>
      <c r="L2235" s="392"/>
      <c r="M2235" s="391"/>
    </row>
    <row r="2236" s="211" customFormat="1" ht="13.8" spans="1:13">
      <c r="A2236" s="391"/>
      <c r="B2236" s="391"/>
      <c r="C2236" s="391"/>
      <c r="D2236" s="391"/>
      <c r="E2236" s="391"/>
      <c r="F2236" s="391"/>
      <c r="G2236" s="167" t="s">
        <v>1281</v>
      </c>
      <c r="H2236" s="167">
        <f t="shared" si="216"/>
        <v>100</v>
      </c>
      <c r="I2236" s="167">
        <v>4</v>
      </c>
      <c r="J2236" s="391"/>
      <c r="K2236" s="391"/>
      <c r="L2236" s="392"/>
      <c r="M2236" s="391"/>
    </row>
    <row r="2237" s="211" customFormat="1" spans="1:13">
      <c r="A2237" s="391"/>
      <c r="B2237" s="391"/>
      <c r="C2237" s="391"/>
      <c r="D2237" s="391"/>
      <c r="E2237" s="391"/>
      <c r="F2237" s="391"/>
      <c r="G2237" s="167" t="s">
        <v>88</v>
      </c>
      <c r="H2237" s="167">
        <f t="shared" si="216"/>
        <v>104</v>
      </c>
      <c r="I2237" s="167">
        <v>4</v>
      </c>
      <c r="J2237" s="391"/>
      <c r="K2237" s="391"/>
      <c r="L2237" s="392"/>
      <c r="M2237" s="391"/>
    </row>
    <row r="2238" s="211" customFormat="1" ht="13.8" spans="1:13">
      <c r="A2238" s="391"/>
      <c r="B2238" s="391"/>
      <c r="C2238" s="391"/>
      <c r="D2238" s="391"/>
      <c r="E2238" s="391"/>
      <c r="F2238" s="391"/>
      <c r="G2238" s="167" t="s">
        <v>1282</v>
      </c>
      <c r="H2238" s="167">
        <f t="shared" si="216"/>
        <v>108</v>
      </c>
      <c r="I2238" s="167">
        <v>4</v>
      </c>
      <c r="J2238" s="391"/>
      <c r="K2238" s="391"/>
      <c r="L2238" s="392"/>
      <c r="M2238" s="391"/>
    </row>
    <row r="2239" s="211" customFormat="1" ht="13.8" spans="1:13">
      <c r="A2239" s="391"/>
      <c r="B2239" s="391"/>
      <c r="C2239" s="391"/>
      <c r="D2239" s="391"/>
      <c r="E2239" s="391"/>
      <c r="F2239" s="391"/>
      <c r="G2239" s="167" t="s">
        <v>1283</v>
      </c>
      <c r="H2239" s="167">
        <f t="shared" si="216"/>
        <v>112</v>
      </c>
      <c r="I2239" s="167">
        <v>4</v>
      </c>
      <c r="J2239" s="391"/>
      <c r="K2239" s="391"/>
      <c r="L2239" s="392"/>
      <c r="M2239" s="391"/>
    </row>
    <row r="2240" s="211" customFormat="1" ht="13.8" spans="1:13">
      <c r="A2240" s="391"/>
      <c r="B2240" s="391"/>
      <c r="C2240" s="391"/>
      <c r="D2240" s="391"/>
      <c r="E2240" s="391"/>
      <c r="F2240" s="391"/>
      <c r="G2240" s="167" t="s">
        <v>1284</v>
      </c>
      <c r="H2240" s="167">
        <f t="shared" si="216"/>
        <v>116</v>
      </c>
      <c r="I2240" s="167">
        <v>4</v>
      </c>
      <c r="J2240" s="391"/>
      <c r="K2240" s="391"/>
      <c r="L2240" s="392"/>
      <c r="M2240" s="391"/>
    </row>
    <row r="2241" s="211" customFormat="1" ht="13.8" spans="1:13">
      <c r="A2241" s="391"/>
      <c r="B2241" s="391"/>
      <c r="C2241" s="391"/>
      <c r="D2241" s="391"/>
      <c r="E2241" s="391"/>
      <c r="F2241" s="391"/>
      <c r="G2241" s="167" t="s">
        <v>1285</v>
      </c>
      <c r="H2241" s="167">
        <f t="shared" si="216"/>
        <v>120</v>
      </c>
      <c r="I2241" s="167">
        <v>4</v>
      </c>
      <c r="J2241" s="391"/>
      <c r="K2241" s="391"/>
      <c r="L2241" s="392"/>
      <c r="M2241" s="391"/>
    </row>
    <row r="2242" s="211" customFormat="1" spans="1:13">
      <c r="A2242" s="391"/>
      <c r="B2242" s="391"/>
      <c r="C2242" s="391"/>
      <c r="D2242" s="391"/>
      <c r="E2242" s="391"/>
      <c r="F2242" s="391"/>
      <c r="G2242" s="167" t="s">
        <v>88</v>
      </c>
      <c r="H2242" s="167">
        <f t="shared" si="216"/>
        <v>124</v>
      </c>
      <c r="I2242" s="167">
        <v>4</v>
      </c>
      <c r="J2242" s="391"/>
      <c r="K2242" s="391"/>
      <c r="L2242" s="392"/>
      <c r="M2242" s="391"/>
    </row>
    <row r="2243" s="211" customFormat="1" ht="13.8" spans="1:13">
      <c r="A2243" s="391"/>
      <c r="B2243" s="391"/>
      <c r="C2243" s="391"/>
      <c r="D2243" s="391"/>
      <c r="E2243" s="391"/>
      <c r="F2243" s="391"/>
      <c r="G2243" s="167" t="s">
        <v>1286</v>
      </c>
      <c r="H2243" s="167">
        <f t="shared" si="216"/>
        <v>128</v>
      </c>
      <c r="I2243" s="167">
        <v>4</v>
      </c>
      <c r="J2243" s="391"/>
      <c r="K2243" s="391"/>
      <c r="L2243" s="392"/>
      <c r="M2243" s="391"/>
    </row>
    <row r="2244" s="211" customFormat="1" ht="13.8" spans="1:13">
      <c r="A2244" s="391"/>
      <c r="B2244" s="391"/>
      <c r="C2244" s="391"/>
      <c r="D2244" s="391"/>
      <c r="E2244" s="391"/>
      <c r="F2244" s="391"/>
      <c r="G2244" s="167" t="s">
        <v>1287</v>
      </c>
      <c r="H2244" s="167">
        <f t="shared" si="216"/>
        <v>132</v>
      </c>
      <c r="I2244" s="167">
        <v>4</v>
      </c>
      <c r="J2244" s="391"/>
      <c r="K2244" s="391"/>
      <c r="L2244" s="392"/>
      <c r="M2244" s="391"/>
    </row>
    <row r="2245" s="211" customFormat="1" ht="13.8" spans="1:13">
      <c r="A2245" s="391"/>
      <c r="B2245" s="391"/>
      <c r="C2245" s="391"/>
      <c r="D2245" s="391"/>
      <c r="E2245" s="391"/>
      <c r="F2245" s="391"/>
      <c r="G2245" s="167" t="s">
        <v>1288</v>
      </c>
      <c r="H2245" s="167">
        <f t="shared" si="216"/>
        <v>136</v>
      </c>
      <c r="I2245" s="167">
        <v>4</v>
      </c>
      <c r="J2245" s="391"/>
      <c r="K2245" s="391"/>
      <c r="L2245" s="392"/>
      <c r="M2245" s="391"/>
    </row>
    <row r="2246" s="211" customFormat="1" ht="13.8" spans="1:13">
      <c r="A2246" s="391"/>
      <c r="B2246" s="391"/>
      <c r="C2246" s="391"/>
      <c r="D2246" s="391"/>
      <c r="E2246" s="391"/>
      <c r="F2246" s="391"/>
      <c r="G2246" s="167" t="s">
        <v>1289</v>
      </c>
      <c r="H2246" s="167">
        <f t="shared" si="216"/>
        <v>140</v>
      </c>
      <c r="I2246" s="167">
        <v>4</v>
      </c>
      <c r="J2246" s="391"/>
      <c r="K2246" s="391"/>
      <c r="L2246" s="392"/>
      <c r="M2246" s="391"/>
    </row>
    <row r="2247" s="211" customFormat="1" spans="1:13">
      <c r="A2247" s="391"/>
      <c r="B2247" s="391"/>
      <c r="C2247" s="391"/>
      <c r="D2247" s="391"/>
      <c r="E2247" s="391"/>
      <c r="F2247" s="391"/>
      <c r="G2247" s="167" t="s">
        <v>88</v>
      </c>
      <c r="H2247" s="167">
        <f t="shared" si="216"/>
        <v>144</v>
      </c>
      <c r="I2247" s="167">
        <v>4</v>
      </c>
      <c r="J2247" s="391"/>
      <c r="K2247" s="391"/>
      <c r="L2247" s="392"/>
      <c r="M2247" s="391"/>
    </row>
    <row r="2248" s="211" customFormat="1" ht="13.8" spans="1:13">
      <c r="A2248" s="391"/>
      <c r="B2248" s="391"/>
      <c r="C2248" s="391"/>
      <c r="D2248" s="391"/>
      <c r="E2248" s="391"/>
      <c r="F2248" s="391"/>
      <c r="G2248" s="167" t="s">
        <v>33</v>
      </c>
      <c r="H2248" s="167">
        <f t="shared" si="216"/>
        <v>148</v>
      </c>
      <c r="I2248" s="167">
        <v>4</v>
      </c>
      <c r="J2248" s="391"/>
      <c r="K2248" s="391"/>
      <c r="L2248" s="392"/>
      <c r="M2248" s="391"/>
    </row>
    <row r="2249" s="211" customFormat="1" ht="13.8" spans="1:13">
      <c r="A2249" s="391"/>
      <c r="B2249" s="391"/>
      <c r="C2249" s="391"/>
      <c r="D2249" s="391"/>
      <c r="E2249" s="391"/>
      <c r="F2249" s="391"/>
      <c r="G2249" s="167" t="s">
        <v>34</v>
      </c>
      <c r="H2249" s="167">
        <f t="shared" si="216"/>
        <v>152</v>
      </c>
      <c r="I2249" s="167">
        <v>4</v>
      </c>
      <c r="J2249" s="391"/>
      <c r="K2249" s="391"/>
      <c r="L2249" s="392"/>
      <c r="M2249" s="391"/>
    </row>
    <row r="2250" s="211" customFormat="1" spans="1:13">
      <c r="A2250" s="388" t="s">
        <v>1290</v>
      </c>
      <c r="B2250" s="388" t="s">
        <v>1291</v>
      </c>
      <c r="C2250" s="388" t="s">
        <v>1263</v>
      </c>
      <c r="D2250" s="389" t="s">
        <v>211</v>
      </c>
      <c r="E2250" s="389">
        <v>7088</v>
      </c>
      <c r="F2250" s="389" t="s">
        <v>1264</v>
      </c>
      <c r="G2250" s="167" t="s">
        <v>87</v>
      </c>
      <c r="H2250" s="167">
        <v>0</v>
      </c>
      <c r="I2250" s="167">
        <v>4</v>
      </c>
      <c r="J2250" s="389" t="s">
        <v>119</v>
      </c>
      <c r="K2250" s="389">
        <v>100</v>
      </c>
      <c r="L2250" s="390"/>
      <c r="M2250" s="389">
        <v>1601103</v>
      </c>
    </row>
    <row r="2251" s="211" customFormat="1" spans="1:13">
      <c r="A2251" s="391"/>
      <c r="B2251" s="391"/>
      <c r="C2251" s="391"/>
      <c r="D2251" s="391"/>
      <c r="E2251" s="391"/>
      <c r="F2251" s="391"/>
      <c r="G2251" s="167" t="s">
        <v>88</v>
      </c>
      <c r="H2251" s="167">
        <f t="shared" ref="H2251:H2288" si="217">H2250+I2250</f>
        <v>4</v>
      </c>
      <c r="I2251" s="167">
        <v>4</v>
      </c>
      <c r="J2251" s="391"/>
      <c r="K2251" s="391"/>
      <c r="L2251" s="392"/>
      <c r="M2251" s="391"/>
    </row>
    <row r="2252" s="211" customFormat="1" ht="13.8" spans="1:13">
      <c r="A2252" s="391"/>
      <c r="B2252" s="391"/>
      <c r="C2252" s="391"/>
      <c r="D2252" s="391"/>
      <c r="E2252" s="391"/>
      <c r="F2252" s="391"/>
      <c r="G2252" s="167" t="s">
        <v>1265</v>
      </c>
      <c r="H2252" s="167">
        <f t="shared" si="217"/>
        <v>8</v>
      </c>
      <c r="I2252" s="167">
        <v>4</v>
      </c>
      <c r="J2252" s="391"/>
      <c r="K2252" s="391"/>
      <c r="L2252" s="392"/>
      <c r="M2252" s="391"/>
    </row>
    <row r="2253" s="211" customFormat="1" ht="13.8" spans="1:13">
      <c r="A2253" s="391"/>
      <c r="B2253" s="391"/>
      <c r="C2253" s="391"/>
      <c r="D2253" s="391"/>
      <c r="E2253" s="391"/>
      <c r="F2253" s="391"/>
      <c r="G2253" s="167" t="s">
        <v>1247</v>
      </c>
      <c r="H2253" s="167">
        <f t="shared" si="217"/>
        <v>12</v>
      </c>
      <c r="I2253" s="167">
        <v>4</v>
      </c>
      <c r="J2253" s="391"/>
      <c r="K2253" s="391"/>
      <c r="L2253" s="392"/>
      <c r="M2253" s="391"/>
    </row>
    <row r="2254" s="211" customFormat="1" ht="13.8" spans="1:13">
      <c r="A2254" s="391"/>
      <c r="B2254" s="391"/>
      <c r="C2254" s="391"/>
      <c r="D2254" s="391"/>
      <c r="E2254" s="391"/>
      <c r="F2254" s="391"/>
      <c r="G2254" s="167" t="s">
        <v>1266</v>
      </c>
      <c r="H2254" s="167">
        <f t="shared" si="217"/>
        <v>16</v>
      </c>
      <c r="I2254" s="167">
        <v>4</v>
      </c>
      <c r="J2254" s="391"/>
      <c r="K2254" s="391"/>
      <c r="L2254" s="392"/>
      <c r="M2254" s="391"/>
    </row>
    <row r="2255" s="211" customFormat="1" ht="13.8" spans="1:13">
      <c r="A2255" s="391"/>
      <c r="B2255" s="391"/>
      <c r="C2255" s="391"/>
      <c r="D2255" s="391"/>
      <c r="E2255" s="391"/>
      <c r="F2255" s="391"/>
      <c r="G2255" s="167" t="s">
        <v>1267</v>
      </c>
      <c r="H2255" s="167">
        <f t="shared" si="217"/>
        <v>20</v>
      </c>
      <c r="I2255" s="167">
        <v>4</v>
      </c>
      <c r="J2255" s="391"/>
      <c r="K2255" s="391"/>
      <c r="L2255" s="392"/>
      <c r="M2255" s="391"/>
    </row>
    <row r="2256" s="211" customFormat="1" spans="1:13">
      <c r="A2256" s="391"/>
      <c r="B2256" s="391"/>
      <c r="C2256" s="391"/>
      <c r="D2256" s="391"/>
      <c r="E2256" s="391"/>
      <c r="F2256" s="391"/>
      <c r="G2256" s="167" t="s">
        <v>88</v>
      </c>
      <c r="H2256" s="167">
        <f t="shared" si="217"/>
        <v>24</v>
      </c>
      <c r="I2256" s="167">
        <v>4</v>
      </c>
      <c r="J2256" s="391"/>
      <c r="K2256" s="391"/>
      <c r="L2256" s="392"/>
      <c r="M2256" s="391"/>
    </row>
    <row r="2257" s="211" customFormat="1" ht="13.8" spans="1:13">
      <c r="A2257" s="391"/>
      <c r="B2257" s="391"/>
      <c r="C2257" s="391"/>
      <c r="D2257" s="391"/>
      <c r="E2257" s="391"/>
      <c r="F2257" s="391"/>
      <c r="G2257" s="167" t="s">
        <v>1268</v>
      </c>
      <c r="H2257" s="167">
        <f t="shared" si="217"/>
        <v>28</v>
      </c>
      <c r="I2257" s="167">
        <v>4</v>
      </c>
      <c r="J2257" s="391"/>
      <c r="K2257" s="391"/>
      <c r="L2257" s="392"/>
      <c r="M2257" s="391"/>
    </row>
    <row r="2258" s="211" customFormat="1" ht="13.8" spans="1:13">
      <c r="A2258" s="391"/>
      <c r="B2258" s="391"/>
      <c r="C2258" s="391"/>
      <c r="D2258" s="391"/>
      <c r="E2258" s="391"/>
      <c r="F2258" s="391"/>
      <c r="G2258" s="167" t="s">
        <v>1269</v>
      </c>
      <c r="H2258" s="167">
        <f t="shared" si="217"/>
        <v>32</v>
      </c>
      <c r="I2258" s="167">
        <v>4</v>
      </c>
      <c r="J2258" s="391"/>
      <c r="K2258" s="391"/>
      <c r="L2258" s="392"/>
      <c r="M2258" s="391"/>
    </row>
    <row r="2259" s="211" customFormat="1" ht="13.8" spans="1:13">
      <c r="A2259" s="391"/>
      <c r="B2259" s="391"/>
      <c r="C2259" s="391"/>
      <c r="D2259" s="391"/>
      <c r="E2259" s="391"/>
      <c r="F2259" s="391"/>
      <c r="G2259" s="167" t="s">
        <v>1270</v>
      </c>
      <c r="H2259" s="167">
        <f t="shared" si="217"/>
        <v>36</v>
      </c>
      <c r="I2259" s="167">
        <v>4</v>
      </c>
      <c r="J2259" s="391"/>
      <c r="K2259" s="391"/>
      <c r="L2259" s="392"/>
      <c r="M2259" s="391"/>
    </row>
    <row r="2260" s="211" customFormat="1" ht="13.8" spans="1:13">
      <c r="A2260" s="391"/>
      <c r="B2260" s="391"/>
      <c r="C2260" s="391"/>
      <c r="D2260" s="391"/>
      <c r="E2260" s="391"/>
      <c r="F2260" s="391"/>
      <c r="G2260" s="167" t="s">
        <v>1271</v>
      </c>
      <c r="H2260" s="167">
        <f t="shared" si="217"/>
        <v>40</v>
      </c>
      <c r="I2260" s="167">
        <v>4</v>
      </c>
      <c r="J2260" s="391"/>
      <c r="K2260" s="391"/>
      <c r="L2260" s="392"/>
      <c r="M2260" s="391"/>
    </row>
    <row r="2261" s="211" customFormat="1" spans="1:13">
      <c r="A2261" s="391"/>
      <c r="B2261" s="391"/>
      <c r="C2261" s="391"/>
      <c r="D2261" s="391"/>
      <c r="E2261" s="391"/>
      <c r="F2261" s="391"/>
      <c r="G2261" s="167" t="s">
        <v>88</v>
      </c>
      <c r="H2261" s="167">
        <f t="shared" si="217"/>
        <v>44</v>
      </c>
      <c r="I2261" s="167">
        <v>4</v>
      </c>
      <c r="J2261" s="391"/>
      <c r="K2261" s="391"/>
      <c r="L2261" s="392"/>
      <c r="M2261" s="391"/>
    </row>
    <row r="2262" s="211" customFormat="1" ht="13.8" spans="1:13">
      <c r="A2262" s="391"/>
      <c r="B2262" s="391"/>
      <c r="C2262" s="391"/>
      <c r="D2262" s="391"/>
      <c r="E2262" s="391"/>
      <c r="F2262" s="391"/>
      <c r="G2262" s="167" t="s">
        <v>1272</v>
      </c>
      <c r="H2262" s="167">
        <f t="shared" si="217"/>
        <v>48</v>
      </c>
      <c r="I2262" s="167">
        <v>4</v>
      </c>
      <c r="J2262" s="391"/>
      <c r="K2262" s="391"/>
      <c r="L2262" s="392"/>
      <c r="M2262" s="391"/>
    </row>
    <row r="2263" s="211" customFormat="1" ht="13.8" spans="1:13">
      <c r="A2263" s="391"/>
      <c r="B2263" s="391"/>
      <c r="C2263" s="391"/>
      <c r="D2263" s="391"/>
      <c r="E2263" s="391"/>
      <c r="F2263" s="391"/>
      <c r="G2263" s="167" t="s">
        <v>1273</v>
      </c>
      <c r="H2263" s="167">
        <f t="shared" si="217"/>
        <v>52</v>
      </c>
      <c r="I2263" s="167">
        <v>4</v>
      </c>
      <c r="J2263" s="391"/>
      <c r="K2263" s="391"/>
      <c r="L2263" s="392"/>
      <c r="M2263" s="391"/>
    </row>
    <row r="2264" s="211" customFormat="1" ht="13.8" spans="1:13">
      <c r="A2264" s="391"/>
      <c r="B2264" s="391"/>
      <c r="C2264" s="391"/>
      <c r="D2264" s="391"/>
      <c r="E2264" s="391"/>
      <c r="F2264" s="391"/>
      <c r="G2264" s="167" t="s">
        <v>1274</v>
      </c>
      <c r="H2264" s="167">
        <f t="shared" si="217"/>
        <v>56</v>
      </c>
      <c r="I2264" s="167">
        <v>4</v>
      </c>
      <c r="J2264" s="391"/>
      <c r="K2264" s="391"/>
      <c r="L2264" s="392"/>
      <c r="M2264" s="391"/>
    </row>
    <row r="2265" s="211" customFormat="1" ht="13.8" spans="1:13">
      <c r="A2265" s="391"/>
      <c r="B2265" s="391"/>
      <c r="C2265" s="391"/>
      <c r="D2265" s="391"/>
      <c r="E2265" s="391"/>
      <c r="F2265" s="391"/>
      <c r="G2265" s="167" t="s">
        <v>1275</v>
      </c>
      <c r="H2265" s="167">
        <f t="shared" si="217"/>
        <v>60</v>
      </c>
      <c r="I2265" s="167">
        <v>4</v>
      </c>
      <c r="J2265" s="391"/>
      <c r="K2265" s="391"/>
      <c r="L2265" s="392"/>
      <c r="M2265" s="391"/>
    </row>
    <row r="2266" s="211" customFormat="1" spans="1:13">
      <c r="A2266" s="391"/>
      <c r="B2266" s="391"/>
      <c r="C2266" s="391"/>
      <c r="D2266" s="391"/>
      <c r="E2266" s="391"/>
      <c r="F2266" s="391"/>
      <c r="G2266" s="167" t="s">
        <v>88</v>
      </c>
      <c r="H2266" s="167">
        <f t="shared" si="217"/>
        <v>64</v>
      </c>
      <c r="I2266" s="167">
        <v>4</v>
      </c>
      <c r="J2266" s="391"/>
      <c r="K2266" s="391"/>
      <c r="L2266" s="392"/>
      <c r="M2266" s="391"/>
    </row>
    <row r="2267" s="211" customFormat="1" ht="13.8" spans="1:13">
      <c r="A2267" s="391"/>
      <c r="B2267" s="391"/>
      <c r="C2267" s="391"/>
      <c r="D2267" s="391"/>
      <c r="E2267" s="391"/>
      <c r="F2267" s="391"/>
      <c r="G2267" s="167" t="s">
        <v>1276</v>
      </c>
      <c r="H2267" s="167">
        <f t="shared" si="217"/>
        <v>68</v>
      </c>
      <c r="I2267" s="167">
        <v>4</v>
      </c>
      <c r="J2267" s="391"/>
      <c r="K2267" s="391"/>
      <c r="L2267" s="392"/>
      <c r="M2267" s="391"/>
    </row>
    <row r="2268" s="211" customFormat="1" ht="13.8" spans="1:13">
      <c r="A2268" s="391"/>
      <c r="B2268" s="391"/>
      <c r="C2268" s="391"/>
      <c r="D2268" s="391"/>
      <c r="E2268" s="391"/>
      <c r="F2268" s="391"/>
      <c r="G2268" s="167" t="s">
        <v>1277</v>
      </c>
      <c r="H2268" s="167">
        <f t="shared" si="217"/>
        <v>72</v>
      </c>
      <c r="I2268" s="167">
        <v>4</v>
      </c>
      <c r="J2268" s="391"/>
      <c r="K2268" s="391"/>
      <c r="L2268" s="392"/>
      <c r="M2268" s="391"/>
    </row>
    <row r="2269" s="211" customFormat="1" ht="13.8" spans="1:13">
      <c r="A2269" s="391"/>
      <c r="B2269" s="391"/>
      <c r="C2269" s="391"/>
      <c r="D2269" s="391"/>
      <c r="E2269" s="391"/>
      <c r="F2269" s="391"/>
      <c r="G2269" s="167" t="s">
        <v>1278</v>
      </c>
      <c r="H2269" s="167">
        <f t="shared" si="217"/>
        <v>76</v>
      </c>
      <c r="I2269" s="167">
        <v>4</v>
      </c>
      <c r="J2269" s="391"/>
      <c r="K2269" s="391"/>
      <c r="L2269" s="392"/>
      <c r="M2269" s="391"/>
    </row>
    <row r="2270" s="211" customFormat="1" ht="13.8" spans="1:13">
      <c r="A2270" s="391"/>
      <c r="B2270" s="391"/>
      <c r="C2270" s="391"/>
      <c r="D2270" s="391"/>
      <c r="E2270" s="391"/>
      <c r="F2270" s="391"/>
      <c r="G2270" s="167" t="s">
        <v>1279</v>
      </c>
      <c r="H2270" s="167">
        <f t="shared" si="217"/>
        <v>80</v>
      </c>
      <c r="I2270" s="167">
        <v>4</v>
      </c>
      <c r="J2270" s="391"/>
      <c r="K2270" s="391"/>
      <c r="L2270" s="392"/>
      <c r="M2270" s="391"/>
    </row>
    <row r="2271" s="211" customFormat="1" spans="1:13">
      <c r="A2271" s="391"/>
      <c r="B2271" s="391"/>
      <c r="C2271" s="391"/>
      <c r="D2271" s="391"/>
      <c r="E2271" s="391"/>
      <c r="F2271" s="391"/>
      <c r="G2271" s="167" t="s">
        <v>88</v>
      </c>
      <c r="H2271" s="167">
        <f t="shared" si="217"/>
        <v>84</v>
      </c>
      <c r="I2271" s="167">
        <v>4</v>
      </c>
      <c r="J2271" s="391"/>
      <c r="K2271" s="391"/>
      <c r="L2271" s="392"/>
      <c r="M2271" s="391"/>
    </row>
    <row r="2272" s="211" customFormat="1" ht="13.8" spans="1:13">
      <c r="A2272" s="391"/>
      <c r="B2272" s="391"/>
      <c r="C2272" s="391"/>
      <c r="D2272" s="391"/>
      <c r="E2272" s="391"/>
      <c r="F2272" s="391"/>
      <c r="G2272" s="167" t="s">
        <v>1280</v>
      </c>
      <c r="H2272" s="167">
        <f t="shared" si="217"/>
        <v>88</v>
      </c>
      <c r="I2272" s="167">
        <v>4</v>
      </c>
      <c r="J2272" s="391"/>
      <c r="K2272" s="391"/>
      <c r="L2272" s="392"/>
      <c r="M2272" s="391"/>
    </row>
    <row r="2273" s="211" customFormat="1" ht="13.8" spans="1:13">
      <c r="A2273" s="391"/>
      <c r="B2273" s="391"/>
      <c r="C2273" s="391"/>
      <c r="D2273" s="391"/>
      <c r="E2273" s="391"/>
      <c r="F2273" s="391"/>
      <c r="G2273" s="167" t="s">
        <v>207</v>
      </c>
      <c r="H2273" s="167">
        <f t="shared" si="217"/>
        <v>92</v>
      </c>
      <c r="I2273" s="167">
        <v>4</v>
      </c>
      <c r="J2273" s="391"/>
      <c r="K2273" s="391"/>
      <c r="L2273" s="392"/>
      <c r="M2273" s="391"/>
    </row>
    <row r="2274" s="211" customFormat="1" ht="13.8" spans="1:13">
      <c r="A2274" s="391"/>
      <c r="B2274" s="391"/>
      <c r="C2274" s="391"/>
      <c r="D2274" s="391"/>
      <c r="E2274" s="391"/>
      <c r="F2274" s="391"/>
      <c r="G2274" s="167" t="s">
        <v>1260</v>
      </c>
      <c r="H2274" s="167">
        <f t="shared" si="217"/>
        <v>96</v>
      </c>
      <c r="I2274" s="167">
        <v>4</v>
      </c>
      <c r="J2274" s="391"/>
      <c r="K2274" s="391"/>
      <c r="L2274" s="392"/>
      <c r="M2274" s="391"/>
    </row>
    <row r="2275" s="211" customFormat="1" ht="13.8" spans="1:13">
      <c r="A2275" s="391"/>
      <c r="B2275" s="391"/>
      <c r="C2275" s="391"/>
      <c r="D2275" s="391"/>
      <c r="E2275" s="391"/>
      <c r="F2275" s="391"/>
      <c r="G2275" s="167" t="s">
        <v>1281</v>
      </c>
      <c r="H2275" s="167">
        <f t="shared" si="217"/>
        <v>100</v>
      </c>
      <c r="I2275" s="167">
        <v>4</v>
      </c>
      <c r="J2275" s="391"/>
      <c r="K2275" s="391"/>
      <c r="L2275" s="392"/>
      <c r="M2275" s="391"/>
    </row>
    <row r="2276" s="211" customFormat="1" spans="1:13">
      <c r="A2276" s="391"/>
      <c r="B2276" s="391"/>
      <c r="C2276" s="391"/>
      <c r="D2276" s="391"/>
      <c r="E2276" s="391"/>
      <c r="F2276" s="391"/>
      <c r="G2276" s="167" t="s">
        <v>88</v>
      </c>
      <c r="H2276" s="167">
        <f t="shared" si="217"/>
        <v>104</v>
      </c>
      <c r="I2276" s="167">
        <v>4</v>
      </c>
      <c r="J2276" s="391"/>
      <c r="K2276" s="391"/>
      <c r="L2276" s="392"/>
      <c r="M2276" s="391"/>
    </row>
    <row r="2277" s="211" customFormat="1" ht="13.8" spans="1:13">
      <c r="A2277" s="391"/>
      <c r="B2277" s="391"/>
      <c r="C2277" s="391"/>
      <c r="D2277" s="391"/>
      <c r="E2277" s="391"/>
      <c r="F2277" s="391"/>
      <c r="G2277" s="167" t="s">
        <v>1282</v>
      </c>
      <c r="H2277" s="167">
        <f t="shared" si="217"/>
        <v>108</v>
      </c>
      <c r="I2277" s="167">
        <v>4</v>
      </c>
      <c r="J2277" s="391"/>
      <c r="K2277" s="391"/>
      <c r="L2277" s="392"/>
      <c r="M2277" s="391"/>
    </row>
    <row r="2278" s="211" customFormat="1" ht="13.8" spans="1:13">
      <c r="A2278" s="391"/>
      <c r="B2278" s="391"/>
      <c r="C2278" s="391"/>
      <c r="D2278" s="391"/>
      <c r="E2278" s="391"/>
      <c r="F2278" s="391"/>
      <c r="G2278" s="167" t="s">
        <v>1283</v>
      </c>
      <c r="H2278" s="167">
        <f t="shared" si="217"/>
        <v>112</v>
      </c>
      <c r="I2278" s="167">
        <v>4</v>
      </c>
      <c r="J2278" s="391"/>
      <c r="K2278" s="391"/>
      <c r="L2278" s="392"/>
      <c r="M2278" s="391"/>
    </row>
    <row r="2279" s="211" customFormat="1" ht="13.8" spans="1:13">
      <c r="A2279" s="391"/>
      <c r="B2279" s="391"/>
      <c r="C2279" s="391"/>
      <c r="D2279" s="391"/>
      <c r="E2279" s="391"/>
      <c r="F2279" s="391"/>
      <c r="G2279" s="167" t="s">
        <v>1284</v>
      </c>
      <c r="H2279" s="167">
        <f t="shared" si="217"/>
        <v>116</v>
      </c>
      <c r="I2279" s="167">
        <v>4</v>
      </c>
      <c r="J2279" s="391"/>
      <c r="K2279" s="391"/>
      <c r="L2279" s="392"/>
      <c r="M2279" s="391"/>
    </row>
    <row r="2280" s="211" customFormat="1" ht="13.8" spans="1:13">
      <c r="A2280" s="391"/>
      <c r="B2280" s="391"/>
      <c r="C2280" s="391"/>
      <c r="D2280" s="391"/>
      <c r="E2280" s="391"/>
      <c r="F2280" s="391"/>
      <c r="G2280" s="167" t="s">
        <v>1285</v>
      </c>
      <c r="H2280" s="167">
        <f t="shared" si="217"/>
        <v>120</v>
      </c>
      <c r="I2280" s="167">
        <v>4</v>
      </c>
      <c r="J2280" s="391"/>
      <c r="K2280" s="391"/>
      <c r="L2280" s="392"/>
      <c r="M2280" s="391"/>
    </row>
    <row r="2281" s="211" customFormat="1" spans="1:13">
      <c r="A2281" s="391"/>
      <c r="B2281" s="391"/>
      <c r="C2281" s="391"/>
      <c r="D2281" s="391"/>
      <c r="E2281" s="391"/>
      <c r="F2281" s="391"/>
      <c r="G2281" s="167" t="s">
        <v>88</v>
      </c>
      <c r="H2281" s="167">
        <f t="shared" si="217"/>
        <v>124</v>
      </c>
      <c r="I2281" s="167">
        <v>4</v>
      </c>
      <c r="J2281" s="391"/>
      <c r="K2281" s="391"/>
      <c r="L2281" s="392"/>
      <c r="M2281" s="391"/>
    </row>
    <row r="2282" s="211" customFormat="1" ht="13.8" spans="1:13">
      <c r="A2282" s="391"/>
      <c r="B2282" s="391"/>
      <c r="C2282" s="391"/>
      <c r="D2282" s="391"/>
      <c r="E2282" s="391"/>
      <c r="F2282" s="391"/>
      <c r="G2282" s="167" t="s">
        <v>1286</v>
      </c>
      <c r="H2282" s="167">
        <f t="shared" si="217"/>
        <v>128</v>
      </c>
      <c r="I2282" s="167">
        <v>4</v>
      </c>
      <c r="J2282" s="391"/>
      <c r="K2282" s="391"/>
      <c r="L2282" s="392"/>
      <c r="M2282" s="391"/>
    </row>
    <row r="2283" s="211" customFormat="1" ht="13.8" spans="1:13">
      <c r="A2283" s="391"/>
      <c r="B2283" s="391"/>
      <c r="C2283" s="391"/>
      <c r="D2283" s="391"/>
      <c r="E2283" s="391"/>
      <c r="F2283" s="391"/>
      <c r="G2283" s="167" t="s">
        <v>1287</v>
      </c>
      <c r="H2283" s="167">
        <f t="shared" si="217"/>
        <v>132</v>
      </c>
      <c r="I2283" s="167">
        <v>4</v>
      </c>
      <c r="J2283" s="391"/>
      <c r="K2283" s="391"/>
      <c r="L2283" s="392"/>
      <c r="M2283" s="391"/>
    </row>
    <row r="2284" s="211" customFormat="1" ht="13.8" spans="1:13">
      <c r="A2284" s="391"/>
      <c r="B2284" s="391"/>
      <c r="C2284" s="391"/>
      <c r="D2284" s="391"/>
      <c r="E2284" s="391"/>
      <c r="F2284" s="391"/>
      <c r="G2284" s="167" t="s">
        <v>1288</v>
      </c>
      <c r="H2284" s="167">
        <f t="shared" si="217"/>
        <v>136</v>
      </c>
      <c r="I2284" s="167">
        <v>4</v>
      </c>
      <c r="J2284" s="391"/>
      <c r="K2284" s="391"/>
      <c r="L2284" s="392"/>
      <c r="M2284" s="391"/>
    </row>
    <row r="2285" s="211" customFormat="1" ht="13.8" spans="1:13">
      <c r="A2285" s="391"/>
      <c r="B2285" s="391"/>
      <c r="C2285" s="391"/>
      <c r="D2285" s="391"/>
      <c r="E2285" s="391"/>
      <c r="F2285" s="391"/>
      <c r="G2285" s="167" t="s">
        <v>1289</v>
      </c>
      <c r="H2285" s="167">
        <f t="shared" si="217"/>
        <v>140</v>
      </c>
      <c r="I2285" s="167">
        <v>4</v>
      </c>
      <c r="J2285" s="391"/>
      <c r="K2285" s="391"/>
      <c r="L2285" s="392"/>
      <c r="M2285" s="391"/>
    </row>
    <row r="2286" s="211" customFormat="1" spans="1:13">
      <c r="A2286" s="391"/>
      <c r="B2286" s="391"/>
      <c r="C2286" s="391"/>
      <c r="D2286" s="391"/>
      <c r="E2286" s="391"/>
      <c r="F2286" s="391"/>
      <c r="G2286" s="167" t="s">
        <v>88</v>
      </c>
      <c r="H2286" s="167">
        <f t="shared" si="217"/>
        <v>144</v>
      </c>
      <c r="I2286" s="167">
        <v>4</v>
      </c>
      <c r="J2286" s="391"/>
      <c r="K2286" s="391"/>
      <c r="L2286" s="392"/>
      <c r="M2286" s="391"/>
    </row>
    <row r="2287" s="211" customFormat="1" ht="13.8" spans="1:13">
      <c r="A2287" s="391"/>
      <c r="B2287" s="391"/>
      <c r="C2287" s="391"/>
      <c r="D2287" s="391"/>
      <c r="E2287" s="391"/>
      <c r="F2287" s="391"/>
      <c r="G2287" s="167" t="s">
        <v>33</v>
      </c>
      <c r="H2287" s="167">
        <f t="shared" si="217"/>
        <v>148</v>
      </c>
      <c r="I2287" s="167">
        <v>4</v>
      </c>
      <c r="J2287" s="391"/>
      <c r="K2287" s="391"/>
      <c r="L2287" s="392"/>
      <c r="M2287" s="391"/>
    </row>
    <row r="2288" s="211" customFormat="1" ht="13.8" spans="1:13">
      <c r="A2288" s="391"/>
      <c r="B2288" s="391"/>
      <c r="C2288" s="391"/>
      <c r="D2288" s="391"/>
      <c r="E2288" s="391"/>
      <c r="F2288" s="391"/>
      <c r="G2288" s="167" t="s">
        <v>34</v>
      </c>
      <c r="H2288" s="167">
        <f t="shared" si="217"/>
        <v>152</v>
      </c>
      <c r="I2288" s="167">
        <v>4</v>
      </c>
      <c r="J2288" s="391"/>
      <c r="K2288" s="391"/>
      <c r="L2288" s="392"/>
      <c r="M2288" s="391"/>
    </row>
    <row r="2289" s="211" customFormat="1" spans="1:13">
      <c r="A2289" s="388" t="s">
        <v>1292</v>
      </c>
      <c r="B2289" s="388" t="s">
        <v>1293</v>
      </c>
      <c r="C2289" s="388" t="s">
        <v>1294</v>
      </c>
      <c r="D2289" s="389" t="s">
        <v>16</v>
      </c>
      <c r="E2289" s="389">
        <v>7089</v>
      </c>
      <c r="F2289" s="389" t="s">
        <v>1264</v>
      </c>
      <c r="G2289" s="167" t="s">
        <v>87</v>
      </c>
      <c r="H2289" s="167">
        <v>0</v>
      </c>
      <c r="I2289" s="167">
        <v>4</v>
      </c>
      <c r="J2289" s="389" t="s">
        <v>135</v>
      </c>
      <c r="K2289" s="389">
        <v>100</v>
      </c>
      <c r="L2289" s="390"/>
      <c r="M2289" s="389">
        <v>1501104</v>
      </c>
    </row>
    <row r="2290" s="211" customFormat="1" spans="1:13">
      <c r="A2290" s="391"/>
      <c r="B2290" s="391"/>
      <c r="C2290" s="391"/>
      <c r="D2290" s="391"/>
      <c r="E2290" s="391"/>
      <c r="F2290" s="391"/>
      <c r="G2290" s="167" t="s">
        <v>88</v>
      </c>
      <c r="H2290" s="167">
        <f t="shared" ref="H2290:H2327" si="218">H2289+I2289</f>
        <v>4</v>
      </c>
      <c r="I2290" s="167">
        <v>4</v>
      </c>
      <c r="J2290" s="391"/>
      <c r="K2290" s="391"/>
      <c r="L2290" s="392"/>
      <c r="M2290" s="391"/>
    </row>
    <row r="2291" s="211" customFormat="1" ht="13.8" spans="1:13">
      <c r="A2291" s="391"/>
      <c r="B2291" s="391"/>
      <c r="C2291" s="391"/>
      <c r="D2291" s="391"/>
      <c r="E2291" s="391"/>
      <c r="F2291" s="391"/>
      <c r="G2291" s="167" t="s">
        <v>1265</v>
      </c>
      <c r="H2291" s="167">
        <f t="shared" si="218"/>
        <v>8</v>
      </c>
      <c r="I2291" s="167">
        <v>4</v>
      </c>
      <c r="J2291" s="391"/>
      <c r="K2291" s="391"/>
      <c r="L2291" s="392"/>
      <c r="M2291" s="391"/>
    </row>
    <row r="2292" s="211" customFormat="1" ht="13.8" spans="1:13">
      <c r="A2292" s="391"/>
      <c r="B2292" s="391"/>
      <c r="C2292" s="391"/>
      <c r="D2292" s="391"/>
      <c r="E2292" s="391"/>
      <c r="F2292" s="391"/>
      <c r="G2292" s="167" t="s">
        <v>1247</v>
      </c>
      <c r="H2292" s="167">
        <f t="shared" si="218"/>
        <v>12</v>
      </c>
      <c r="I2292" s="167">
        <v>4</v>
      </c>
      <c r="J2292" s="391"/>
      <c r="K2292" s="391"/>
      <c r="L2292" s="392"/>
      <c r="M2292" s="391"/>
    </row>
    <row r="2293" s="211" customFormat="1" ht="13.8" spans="1:13">
      <c r="A2293" s="391"/>
      <c r="B2293" s="391"/>
      <c r="C2293" s="391"/>
      <c r="D2293" s="391"/>
      <c r="E2293" s="391"/>
      <c r="F2293" s="391"/>
      <c r="G2293" s="167" t="s">
        <v>1266</v>
      </c>
      <c r="H2293" s="167">
        <f t="shared" si="218"/>
        <v>16</v>
      </c>
      <c r="I2293" s="167">
        <v>4</v>
      </c>
      <c r="J2293" s="391"/>
      <c r="K2293" s="391"/>
      <c r="L2293" s="392"/>
      <c r="M2293" s="391"/>
    </row>
    <row r="2294" s="211" customFormat="1" ht="13.8" spans="1:13">
      <c r="A2294" s="391"/>
      <c r="B2294" s="391"/>
      <c r="C2294" s="391"/>
      <c r="D2294" s="391"/>
      <c r="E2294" s="391"/>
      <c r="F2294" s="391"/>
      <c r="G2294" s="167" t="s">
        <v>1267</v>
      </c>
      <c r="H2294" s="167">
        <f t="shared" si="218"/>
        <v>20</v>
      </c>
      <c r="I2294" s="167">
        <v>4</v>
      </c>
      <c r="J2294" s="391"/>
      <c r="K2294" s="391"/>
      <c r="L2294" s="392"/>
      <c r="M2294" s="391"/>
    </row>
    <row r="2295" s="211" customFormat="1" spans="1:13">
      <c r="A2295" s="391"/>
      <c r="B2295" s="391"/>
      <c r="C2295" s="391"/>
      <c r="D2295" s="391"/>
      <c r="E2295" s="391"/>
      <c r="F2295" s="391"/>
      <c r="G2295" s="167" t="s">
        <v>88</v>
      </c>
      <c r="H2295" s="167">
        <f t="shared" si="218"/>
        <v>24</v>
      </c>
      <c r="I2295" s="167">
        <v>4</v>
      </c>
      <c r="J2295" s="391"/>
      <c r="K2295" s="391"/>
      <c r="L2295" s="392"/>
      <c r="M2295" s="391"/>
    </row>
    <row r="2296" s="211" customFormat="1" ht="13.8" spans="1:13">
      <c r="A2296" s="391"/>
      <c r="B2296" s="391"/>
      <c r="C2296" s="391"/>
      <c r="D2296" s="391"/>
      <c r="E2296" s="391"/>
      <c r="F2296" s="391"/>
      <c r="G2296" s="167" t="s">
        <v>1268</v>
      </c>
      <c r="H2296" s="167">
        <f t="shared" si="218"/>
        <v>28</v>
      </c>
      <c r="I2296" s="167">
        <v>4</v>
      </c>
      <c r="J2296" s="391"/>
      <c r="K2296" s="391"/>
      <c r="L2296" s="392"/>
      <c r="M2296" s="391"/>
    </row>
    <row r="2297" s="211" customFormat="1" ht="13.8" spans="1:13">
      <c r="A2297" s="391"/>
      <c r="B2297" s="391"/>
      <c r="C2297" s="391"/>
      <c r="D2297" s="391"/>
      <c r="E2297" s="391"/>
      <c r="F2297" s="391"/>
      <c r="G2297" s="167" t="s">
        <v>1269</v>
      </c>
      <c r="H2297" s="167">
        <f t="shared" si="218"/>
        <v>32</v>
      </c>
      <c r="I2297" s="167">
        <v>4</v>
      </c>
      <c r="J2297" s="391"/>
      <c r="K2297" s="391"/>
      <c r="L2297" s="392"/>
      <c r="M2297" s="391"/>
    </row>
    <row r="2298" s="211" customFormat="1" ht="13.8" spans="1:13">
      <c r="A2298" s="391"/>
      <c r="B2298" s="391"/>
      <c r="C2298" s="391"/>
      <c r="D2298" s="391"/>
      <c r="E2298" s="391"/>
      <c r="F2298" s="391"/>
      <c r="G2298" s="167" t="s">
        <v>1270</v>
      </c>
      <c r="H2298" s="167">
        <f t="shared" si="218"/>
        <v>36</v>
      </c>
      <c r="I2298" s="167">
        <v>4</v>
      </c>
      <c r="J2298" s="391"/>
      <c r="K2298" s="391"/>
      <c r="L2298" s="392"/>
      <c r="M2298" s="391"/>
    </row>
    <row r="2299" s="211" customFormat="1" ht="13.8" spans="1:13">
      <c r="A2299" s="391"/>
      <c r="B2299" s="391"/>
      <c r="C2299" s="391"/>
      <c r="D2299" s="391"/>
      <c r="E2299" s="391"/>
      <c r="F2299" s="391"/>
      <c r="G2299" s="167" t="s">
        <v>1271</v>
      </c>
      <c r="H2299" s="167">
        <f t="shared" si="218"/>
        <v>40</v>
      </c>
      <c r="I2299" s="167">
        <v>4</v>
      </c>
      <c r="J2299" s="391"/>
      <c r="K2299" s="391"/>
      <c r="L2299" s="392"/>
      <c r="M2299" s="391"/>
    </row>
    <row r="2300" s="211" customFormat="1" spans="1:13">
      <c r="A2300" s="391"/>
      <c r="B2300" s="391"/>
      <c r="C2300" s="391"/>
      <c r="D2300" s="391"/>
      <c r="E2300" s="391"/>
      <c r="F2300" s="391"/>
      <c r="G2300" s="167" t="s">
        <v>88</v>
      </c>
      <c r="H2300" s="167">
        <f t="shared" si="218"/>
        <v>44</v>
      </c>
      <c r="I2300" s="167">
        <v>4</v>
      </c>
      <c r="J2300" s="391"/>
      <c r="K2300" s="391"/>
      <c r="L2300" s="392"/>
      <c r="M2300" s="391"/>
    </row>
    <row r="2301" s="211" customFormat="1" ht="13.8" spans="1:13">
      <c r="A2301" s="391"/>
      <c r="B2301" s="391"/>
      <c r="C2301" s="391"/>
      <c r="D2301" s="391"/>
      <c r="E2301" s="391"/>
      <c r="F2301" s="391"/>
      <c r="G2301" s="167" t="s">
        <v>1272</v>
      </c>
      <c r="H2301" s="167">
        <f t="shared" si="218"/>
        <v>48</v>
      </c>
      <c r="I2301" s="167">
        <v>4</v>
      </c>
      <c r="J2301" s="391"/>
      <c r="K2301" s="391"/>
      <c r="L2301" s="392"/>
      <c r="M2301" s="391"/>
    </row>
    <row r="2302" s="211" customFormat="1" ht="13.8" spans="1:13">
      <c r="A2302" s="391"/>
      <c r="B2302" s="391"/>
      <c r="C2302" s="391"/>
      <c r="D2302" s="391"/>
      <c r="E2302" s="391"/>
      <c r="F2302" s="391"/>
      <c r="G2302" s="167" t="s">
        <v>1273</v>
      </c>
      <c r="H2302" s="167">
        <f t="shared" si="218"/>
        <v>52</v>
      </c>
      <c r="I2302" s="167">
        <v>4</v>
      </c>
      <c r="J2302" s="391"/>
      <c r="K2302" s="391"/>
      <c r="L2302" s="392"/>
      <c r="M2302" s="391"/>
    </row>
    <row r="2303" s="211" customFormat="1" ht="13.8" spans="1:13">
      <c r="A2303" s="391"/>
      <c r="B2303" s="391"/>
      <c r="C2303" s="391"/>
      <c r="D2303" s="391"/>
      <c r="E2303" s="391"/>
      <c r="F2303" s="391"/>
      <c r="G2303" s="167" t="s">
        <v>1274</v>
      </c>
      <c r="H2303" s="167">
        <f t="shared" si="218"/>
        <v>56</v>
      </c>
      <c r="I2303" s="167">
        <v>4</v>
      </c>
      <c r="J2303" s="391"/>
      <c r="K2303" s="391"/>
      <c r="L2303" s="392"/>
      <c r="M2303" s="391"/>
    </row>
    <row r="2304" s="211" customFormat="1" ht="13.8" spans="1:13">
      <c r="A2304" s="391"/>
      <c r="B2304" s="391"/>
      <c r="C2304" s="391"/>
      <c r="D2304" s="391"/>
      <c r="E2304" s="391"/>
      <c r="F2304" s="391"/>
      <c r="G2304" s="167" t="s">
        <v>1275</v>
      </c>
      <c r="H2304" s="167">
        <f t="shared" si="218"/>
        <v>60</v>
      </c>
      <c r="I2304" s="167">
        <v>4</v>
      </c>
      <c r="J2304" s="391"/>
      <c r="K2304" s="391"/>
      <c r="L2304" s="392"/>
      <c r="M2304" s="391"/>
    </row>
    <row r="2305" s="211" customFormat="1" spans="1:13">
      <c r="A2305" s="391"/>
      <c r="B2305" s="391"/>
      <c r="C2305" s="391"/>
      <c r="D2305" s="391"/>
      <c r="E2305" s="391"/>
      <c r="F2305" s="391"/>
      <c r="G2305" s="167" t="s">
        <v>88</v>
      </c>
      <c r="H2305" s="167">
        <f t="shared" si="218"/>
        <v>64</v>
      </c>
      <c r="I2305" s="167">
        <v>4</v>
      </c>
      <c r="J2305" s="391"/>
      <c r="K2305" s="391"/>
      <c r="L2305" s="392"/>
      <c r="M2305" s="391"/>
    </row>
    <row r="2306" s="211" customFormat="1" ht="13.8" spans="1:13">
      <c r="A2306" s="391"/>
      <c r="B2306" s="391"/>
      <c r="C2306" s="391"/>
      <c r="D2306" s="391"/>
      <c r="E2306" s="391"/>
      <c r="F2306" s="391"/>
      <c r="G2306" s="167" t="s">
        <v>1276</v>
      </c>
      <c r="H2306" s="167">
        <f t="shared" si="218"/>
        <v>68</v>
      </c>
      <c r="I2306" s="167">
        <v>4</v>
      </c>
      <c r="J2306" s="391"/>
      <c r="K2306" s="391"/>
      <c r="L2306" s="392"/>
      <c r="M2306" s="391"/>
    </row>
    <row r="2307" s="211" customFormat="1" ht="13.8" spans="1:13">
      <c r="A2307" s="391"/>
      <c r="B2307" s="391"/>
      <c r="C2307" s="391"/>
      <c r="D2307" s="391"/>
      <c r="E2307" s="391"/>
      <c r="F2307" s="391"/>
      <c r="G2307" s="167" t="s">
        <v>1277</v>
      </c>
      <c r="H2307" s="167">
        <f t="shared" si="218"/>
        <v>72</v>
      </c>
      <c r="I2307" s="167">
        <v>4</v>
      </c>
      <c r="J2307" s="391"/>
      <c r="K2307" s="391"/>
      <c r="L2307" s="392"/>
      <c r="M2307" s="391"/>
    </row>
    <row r="2308" s="211" customFormat="1" ht="13.8" spans="1:13">
      <c r="A2308" s="391"/>
      <c r="B2308" s="391"/>
      <c r="C2308" s="391"/>
      <c r="D2308" s="391"/>
      <c r="E2308" s="391"/>
      <c r="F2308" s="391"/>
      <c r="G2308" s="167" t="s">
        <v>1278</v>
      </c>
      <c r="H2308" s="167">
        <f t="shared" si="218"/>
        <v>76</v>
      </c>
      <c r="I2308" s="167">
        <v>4</v>
      </c>
      <c r="J2308" s="391"/>
      <c r="K2308" s="391"/>
      <c r="L2308" s="392"/>
      <c r="M2308" s="391"/>
    </row>
    <row r="2309" s="211" customFormat="1" ht="13.8" spans="1:13">
      <c r="A2309" s="391"/>
      <c r="B2309" s="391"/>
      <c r="C2309" s="391"/>
      <c r="D2309" s="391"/>
      <c r="E2309" s="391"/>
      <c r="F2309" s="391"/>
      <c r="G2309" s="167" t="s">
        <v>1279</v>
      </c>
      <c r="H2309" s="167">
        <f t="shared" si="218"/>
        <v>80</v>
      </c>
      <c r="I2309" s="167">
        <v>4</v>
      </c>
      <c r="J2309" s="391"/>
      <c r="K2309" s="391"/>
      <c r="L2309" s="392"/>
      <c r="M2309" s="391"/>
    </row>
    <row r="2310" s="211" customFormat="1" spans="1:13">
      <c r="A2310" s="391"/>
      <c r="B2310" s="391"/>
      <c r="C2310" s="391"/>
      <c r="D2310" s="391"/>
      <c r="E2310" s="391"/>
      <c r="F2310" s="391"/>
      <c r="G2310" s="167" t="s">
        <v>88</v>
      </c>
      <c r="H2310" s="167">
        <f t="shared" si="218"/>
        <v>84</v>
      </c>
      <c r="I2310" s="167">
        <v>4</v>
      </c>
      <c r="J2310" s="391"/>
      <c r="K2310" s="391"/>
      <c r="L2310" s="392"/>
      <c r="M2310" s="391"/>
    </row>
    <row r="2311" s="211" customFormat="1" ht="13.8" spans="1:13">
      <c r="A2311" s="391"/>
      <c r="B2311" s="391"/>
      <c r="C2311" s="391"/>
      <c r="D2311" s="391"/>
      <c r="E2311" s="391"/>
      <c r="F2311" s="391"/>
      <c r="G2311" s="167" t="s">
        <v>1280</v>
      </c>
      <c r="H2311" s="167">
        <f t="shared" si="218"/>
        <v>88</v>
      </c>
      <c r="I2311" s="167">
        <v>4</v>
      </c>
      <c r="J2311" s="391"/>
      <c r="K2311" s="391"/>
      <c r="L2311" s="392"/>
      <c r="M2311" s="391"/>
    </row>
    <row r="2312" s="211" customFormat="1" ht="13.8" spans="1:13">
      <c r="A2312" s="391"/>
      <c r="B2312" s="391"/>
      <c r="C2312" s="391"/>
      <c r="D2312" s="391"/>
      <c r="E2312" s="391"/>
      <c r="F2312" s="391"/>
      <c r="G2312" s="167" t="s">
        <v>207</v>
      </c>
      <c r="H2312" s="167">
        <f t="shared" si="218"/>
        <v>92</v>
      </c>
      <c r="I2312" s="167">
        <v>4</v>
      </c>
      <c r="J2312" s="391"/>
      <c r="K2312" s="391"/>
      <c r="L2312" s="392"/>
      <c r="M2312" s="391"/>
    </row>
    <row r="2313" s="211" customFormat="1" ht="13.8" spans="1:13">
      <c r="A2313" s="391"/>
      <c r="B2313" s="391"/>
      <c r="C2313" s="391"/>
      <c r="D2313" s="391"/>
      <c r="E2313" s="391"/>
      <c r="F2313" s="391"/>
      <c r="G2313" s="167" t="s">
        <v>1260</v>
      </c>
      <c r="H2313" s="167">
        <f t="shared" si="218"/>
        <v>96</v>
      </c>
      <c r="I2313" s="167">
        <v>4</v>
      </c>
      <c r="J2313" s="391"/>
      <c r="K2313" s="391"/>
      <c r="L2313" s="392"/>
      <c r="M2313" s="391"/>
    </row>
    <row r="2314" s="211" customFormat="1" ht="13.8" spans="1:13">
      <c r="A2314" s="391"/>
      <c r="B2314" s="391"/>
      <c r="C2314" s="391"/>
      <c r="D2314" s="391"/>
      <c r="E2314" s="391"/>
      <c r="F2314" s="391"/>
      <c r="G2314" s="167" t="s">
        <v>1281</v>
      </c>
      <c r="H2314" s="167">
        <f t="shared" si="218"/>
        <v>100</v>
      </c>
      <c r="I2314" s="167">
        <v>4</v>
      </c>
      <c r="J2314" s="391"/>
      <c r="K2314" s="391"/>
      <c r="L2314" s="392"/>
      <c r="M2314" s="391"/>
    </row>
    <row r="2315" s="211" customFormat="1" spans="1:13">
      <c r="A2315" s="391"/>
      <c r="B2315" s="391"/>
      <c r="C2315" s="391"/>
      <c r="D2315" s="391"/>
      <c r="E2315" s="391"/>
      <c r="F2315" s="391"/>
      <c r="G2315" s="167" t="s">
        <v>88</v>
      </c>
      <c r="H2315" s="167">
        <f t="shared" si="218"/>
        <v>104</v>
      </c>
      <c r="I2315" s="167">
        <v>4</v>
      </c>
      <c r="J2315" s="391"/>
      <c r="K2315" s="391"/>
      <c r="L2315" s="392"/>
      <c r="M2315" s="391"/>
    </row>
    <row r="2316" s="211" customFormat="1" ht="13.8" spans="1:13">
      <c r="A2316" s="391"/>
      <c r="B2316" s="391"/>
      <c r="C2316" s="391"/>
      <c r="D2316" s="391"/>
      <c r="E2316" s="391"/>
      <c r="F2316" s="391"/>
      <c r="G2316" s="167" t="s">
        <v>1282</v>
      </c>
      <c r="H2316" s="167">
        <f t="shared" si="218"/>
        <v>108</v>
      </c>
      <c r="I2316" s="167">
        <v>4</v>
      </c>
      <c r="J2316" s="391"/>
      <c r="K2316" s="391"/>
      <c r="L2316" s="392"/>
      <c r="M2316" s="391"/>
    </row>
    <row r="2317" s="211" customFormat="1" ht="13.8" spans="1:13">
      <c r="A2317" s="391"/>
      <c r="B2317" s="391"/>
      <c r="C2317" s="391"/>
      <c r="D2317" s="391"/>
      <c r="E2317" s="391"/>
      <c r="F2317" s="391"/>
      <c r="G2317" s="167" t="s">
        <v>1283</v>
      </c>
      <c r="H2317" s="167">
        <f t="shared" si="218"/>
        <v>112</v>
      </c>
      <c r="I2317" s="167">
        <v>4</v>
      </c>
      <c r="J2317" s="391"/>
      <c r="K2317" s="391"/>
      <c r="L2317" s="392"/>
      <c r="M2317" s="391"/>
    </row>
    <row r="2318" s="211" customFormat="1" ht="13.8" spans="1:13">
      <c r="A2318" s="391"/>
      <c r="B2318" s="391"/>
      <c r="C2318" s="391"/>
      <c r="D2318" s="391"/>
      <c r="E2318" s="391"/>
      <c r="F2318" s="391"/>
      <c r="G2318" s="167" t="s">
        <v>1284</v>
      </c>
      <c r="H2318" s="167">
        <f t="shared" si="218"/>
        <v>116</v>
      </c>
      <c r="I2318" s="167">
        <v>4</v>
      </c>
      <c r="J2318" s="391"/>
      <c r="K2318" s="391"/>
      <c r="L2318" s="392"/>
      <c r="M2318" s="391"/>
    </row>
    <row r="2319" s="211" customFormat="1" ht="13.8" spans="1:13">
      <c r="A2319" s="391"/>
      <c r="B2319" s="391"/>
      <c r="C2319" s="391"/>
      <c r="D2319" s="391"/>
      <c r="E2319" s="391"/>
      <c r="F2319" s="391"/>
      <c r="G2319" s="167" t="s">
        <v>1285</v>
      </c>
      <c r="H2319" s="167">
        <f t="shared" si="218"/>
        <v>120</v>
      </c>
      <c r="I2319" s="167">
        <v>4</v>
      </c>
      <c r="J2319" s="391"/>
      <c r="K2319" s="391"/>
      <c r="L2319" s="392"/>
      <c r="M2319" s="391"/>
    </row>
    <row r="2320" s="211" customFormat="1" spans="1:13">
      <c r="A2320" s="391"/>
      <c r="B2320" s="391"/>
      <c r="C2320" s="391"/>
      <c r="D2320" s="391"/>
      <c r="E2320" s="391"/>
      <c r="F2320" s="391"/>
      <c r="G2320" s="167" t="s">
        <v>88</v>
      </c>
      <c r="H2320" s="167">
        <f t="shared" si="218"/>
        <v>124</v>
      </c>
      <c r="I2320" s="167">
        <v>4</v>
      </c>
      <c r="J2320" s="391"/>
      <c r="K2320" s="391"/>
      <c r="L2320" s="392"/>
      <c r="M2320" s="391"/>
    </row>
    <row r="2321" s="211" customFormat="1" ht="13.8" spans="1:13">
      <c r="A2321" s="391"/>
      <c r="B2321" s="391"/>
      <c r="C2321" s="391"/>
      <c r="D2321" s="391"/>
      <c r="E2321" s="391"/>
      <c r="F2321" s="391"/>
      <c r="G2321" s="167" t="s">
        <v>1286</v>
      </c>
      <c r="H2321" s="167">
        <f t="shared" si="218"/>
        <v>128</v>
      </c>
      <c r="I2321" s="167">
        <v>4</v>
      </c>
      <c r="J2321" s="391"/>
      <c r="K2321" s="391"/>
      <c r="L2321" s="392"/>
      <c r="M2321" s="391"/>
    </row>
    <row r="2322" s="211" customFormat="1" ht="13.8" spans="1:13">
      <c r="A2322" s="391"/>
      <c r="B2322" s="391"/>
      <c r="C2322" s="391"/>
      <c r="D2322" s="391"/>
      <c r="E2322" s="391"/>
      <c r="F2322" s="391"/>
      <c r="G2322" s="167" t="s">
        <v>1287</v>
      </c>
      <c r="H2322" s="167">
        <f t="shared" si="218"/>
        <v>132</v>
      </c>
      <c r="I2322" s="167">
        <v>4</v>
      </c>
      <c r="J2322" s="391"/>
      <c r="K2322" s="391"/>
      <c r="L2322" s="392"/>
      <c r="M2322" s="391"/>
    </row>
    <row r="2323" s="211" customFormat="1" ht="13.8" spans="1:13">
      <c r="A2323" s="391"/>
      <c r="B2323" s="391"/>
      <c r="C2323" s="391"/>
      <c r="D2323" s="391"/>
      <c r="E2323" s="391"/>
      <c r="F2323" s="391"/>
      <c r="G2323" s="167" t="s">
        <v>1288</v>
      </c>
      <c r="H2323" s="167">
        <f t="shared" si="218"/>
        <v>136</v>
      </c>
      <c r="I2323" s="167">
        <v>4</v>
      </c>
      <c r="J2323" s="391"/>
      <c r="K2323" s="391"/>
      <c r="L2323" s="392"/>
      <c r="M2323" s="391"/>
    </row>
    <row r="2324" s="211" customFormat="1" ht="13.8" spans="1:13">
      <c r="A2324" s="391"/>
      <c r="B2324" s="391"/>
      <c r="C2324" s="391"/>
      <c r="D2324" s="391"/>
      <c r="E2324" s="391"/>
      <c r="F2324" s="391"/>
      <c r="G2324" s="167" t="s">
        <v>1289</v>
      </c>
      <c r="H2324" s="167">
        <f t="shared" si="218"/>
        <v>140</v>
      </c>
      <c r="I2324" s="167">
        <v>4</v>
      </c>
      <c r="J2324" s="391"/>
      <c r="K2324" s="391"/>
      <c r="L2324" s="392"/>
      <c r="M2324" s="391"/>
    </row>
    <row r="2325" s="211" customFormat="1" spans="1:13">
      <c r="A2325" s="391"/>
      <c r="B2325" s="391"/>
      <c r="C2325" s="391"/>
      <c r="D2325" s="391"/>
      <c r="E2325" s="391"/>
      <c r="F2325" s="391"/>
      <c r="G2325" s="167" t="s">
        <v>88</v>
      </c>
      <c r="H2325" s="167">
        <f t="shared" si="218"/>
        <v>144</v>
      </c>
      <c r="I2325" s="167">
        <v>4</v>
      </c>
      <c r="J2325" s="391"/>
      <c r="K2325" s="391"/>
      <c r="L2325" s="392"/>
      <c r="M2325" s="391"/>
    </row>
    <row r="2326" s="211" customFormat="1" ht="13.8" spans="1:13">
      <c r="A2326" s="391"/>
      <c r="B2326" s="391"/>
      <c r="C2326" s="391"/>
      <c r="D2326" s="391"/>
      <c r="E2326" s="391"/>
      <c r="F2326" s="391"/>
      <c r="G2326" s="167" t="s">
        <v>33</v>
      </c>
      <c r="H2326" s="167">
        <f t="shared" si="218"/>
        <v>148</v>
      </c>
      <c r="I2326" s="167">
        <v>4</v>
      </c>
      <c r="J2326" s="391"/>
      <c r="K2326" s="391"/>
      <c r="L2326" s="392"/>
      <c r="M2326" s="391"/>
    </row>
    <row r="2327" s="211" customFormat="1" ht="13.8" spans="1:13">
      <c r="A2327" s="391"/>
      <c r="B2327" s="391"/>
      <c r="C2327" s="391"/>
      <c r="D2327" s="391"/>
      <c r="E2327" s="391"/>
      <c r="F2327" s="391"/>
      <c r="G2327" s="167" t="s">
        <v>34</v>
      </c>
      <c r="H2327" s="167">
        <f t="shared" si="218"/>
        <v>152</v>
      </c>
      <c r="I2327" s="167">
        <v>4</v>
      </c>
      <c r="J2327" s="391"/>
      <c r="K2327" s="391"/>
      <c r="L2327" s="392"/>
      <c r="M2327" s="391"/>
    </row>
    <row r="2328" s="211" customFormat="1" spans="1:13">
      <c r="A2328" s="388" t="s">
        <v>1295</v>
      </c>
      <c r="B2328" s="388" t="s">
        <v>1296</v>
      </c>
      <c r="C2328" s="388" t="s">
        <v>1294</v>
      </c>
      <c r="D2328" s="389" t="s">
        <v>211</v>
      </c>
      <c r="E2328" s="389">
        <v>7090</v>
      </c>
      <c r="F2328" s="389" t="s">
        <v>1264</v>
      </c>
      <c r="G2328" s="167" t="s">
        <v>87</v>
      </c>
      <c r="H2328" s="167">
        <v>0</v>
      </c>
      <c r="I2328" s="167">
        <v>4</v>
      </c>
      <c r="J2328" s="389" t="s">
        <v>119</v>
      </c>
      <c r="K2328" s="389">
        <v>100</v>
      </c>
      <c r="L2328" s="390"/>
      <c r="M2328" s="389">
        <v>1601105</v>
      </c>
    </row>
    <row r="2329" s="211" customFormat="1" spans="1:13">
      <c r="A2329" s="391"/>
      <c r="B2329" s="391"/>
      <c r="C2329" s="391"/>
      <c r="D2329" s="391"/>
      <c r="E2329" s="391"/>
      <c r="F2329" s="391"/>
      <c r="G2329" s="167" t="s">
        <v>88</v>
      </c>
      <c r="H2329" s="167">
        <f t="shared" ref="H2329:H2366" si="219">H2328+I2328</f>
        <v>4</v>
      </c>
      <c r="I2329" s="167">
        <v>4</v>
      </c>
      <c r="J2329" s="391"/>
      <c r="K2329" s="391"/>
      <c r="L2329" s="392"/>
      <c r="M2329" s="391"/>
    </row>
    <row r="2330" s="211" customFormat="1" ht="13.8" spans="1:13">
      <c r="A2330" s="391"/>
      <c r="B2330" s="391"/>
      <c r="C2330" s="391"/>
      <c r="D2330" s="391"/>
      <c r="E2330" s="391"/>
      <c r="F2330" s="391"/>
      <c r="G2330" s="167" t="s">
        <v>1265</v>
      </c>
      <c r="H2330" s="167">
        <f t="shared" si="219"/>
        <v>8</v>
      </c>
      <c r="I2330" s="167">
        <v>4</v>
      </c>
      <c r="J2330" s="391"/>
      <c r="K2330" s="391"/>
      <c r="L2330" s="392"/>
      <c r="M2330" s="391"/>
    </row>
    <row r="2331" s="211" customFormat="1" ht="13.8" spans="1:13">
      <c r="A2331" s="391"/>
      <c r="B2331" s="391"/>
      <c r="C2331" s="391"/>
      <c r="D2331" s="391"/>
      <c r="E2331" s="391"/>
      <c r="F2331" s="391"/>
      <c r="G2331" s="167" t="s">
        <v>1247</v>
      </c>
      <c r="H2331" s="167">
        <f t="shared" si="219"/>
        <v>12</v>
      </c>
      <c r="I2331" s="167">
        <v>4</v>
      </c>
      <c r="J2331" s="391"/>
      <c r="K2331" s="391"/>
      <c r="L2331" s="392"/>
      <c r="M2331" s="391"/>
    </row>
    <row r="2332" s="211" customFormat="1" ht="13.8" spans="1:13">
      <c r="A2332" s="391"/>
      <c r="B2332" s="391"/>
      <c r="C2332" s="391"/>
      <c r="D2332" s="391"/>
      <c r="E2332" s="391"/>
      <c r="F2332" s="391"/>
      <c r="G2332" s="167" t="s">
        <v>1266</v>
      </c>
      <c r="H2332" s="167">
        <f t="shared" si="219"/>
        <v>16</v>
      </c>
      <c r="I2332" s="167">
        <v>4</v>
      </c>
      <c r="J2332" s="391"/>
      <c r="K2332" s="391"/>
      <c r="L2332" s="392"/>
      <c r="M2332" s="391"/>
    </row>
    <row r="2333" s="211" customFormat="1" ht="13.8" spans="1:13">
      <c r="A2333" s="391"/>
      <c r="B2333" s="391"/>
      <c r="C2333" s="391"/>
      <c r="D2333" s="391"/>
      <c r="E2333" s="391"/>
      <c r="F2333" s="391"/>
      <c r="G2333" s="167" t="s">
        <v>1267</v>
      </c>
      <c r="H2333" s="167">
        <f t="shared" si="219"/>
        <v>20</v>
      </c>
      <c r="I2333" s="167">
        <v>4</v>
      </c>
      <c r="J2333" s="391"/>
      <c r="K2333" s="391"/>
      <c r="L2333" s="392"/>
      <c r="M2333" s="391"/>
    </row>
    <row r="2334" s="211" customFormat="1" spans="1:13">
      <c r="A2334" s="391"/>
      <c r="B2334" s="391"/>
      <c r="C2334" s="391"/>
      <c r="D2334" s="391"/>
      <c r="E2334" s="391"/>
      <c r="F2334" s="391"/>
      <c r="G2334" s="167" t="s">
        <v>88</v>
      </c>
      <c r="H2334" s="167">
        <f t="shared" si="219"/>
        <v>24</v>
      </c>
      <c r="I2334" s="167">
        <v>4</v>
      </c>
      <c r="J2334" s="391"/>
      <c r="K2334" s="391"/>
      <c r="L2334" s="392"/>
      <c r="M2334" s="391"/>
    </row>
    <row r="2335" s="211" customFormat="1" ht="13.8" spans="1:13">
      <c r="A2335" s="391"/>
      <c r="B2335" s="391"/>
      <c r="C2335" s="391"/>
      <c r="D2335" s="391"/>
      <c r="E2335" s="391"/>
      <c r="F2335" s="391"/>
      <c r="G2335" s="167" t="s">
        <v>1268</v>
      </c>
      <c r="H2335" s="167">
        <f t="shared" si="219"/>
        <v>28</v>
      </c>
      <c r="I2335" s="167">
        <v>4</v>
      </c>
      <c r="J2335" s="391"/>
      <c r="K2335" s="391"/>
      <c r="L2335" s="392"/>
      <c r="M2335" s="391"/>
    </row>
    <row r="2336" s="211" customFormat="1" ht="13.8" spans="1:13">
      <c r="A2336" s="391"/>
      <c r="B2336" s="391"/>
      <c r="C2336" s="391"/>
      <c r="D2336" s="391"/>
      <c r="E2336" s="391"/>
      <c r="F2336" s="391"/>
      <c r="G2336" s="167" t="s">
        <v>1269</v>
      </c>
      <c r="H2336" s="167">
        <f t="shared" si="219"/>
        <v>32</v>
      </c>
      <c r="I2336" s="167">
        <v>4</v>
      </c>
      <c r="J2336" s="391"/>
      <c r="K2336" s="391"/>
      <c r="L2336" s="392"/>
      <c r="M2336" s="391"/>
    </row>
    <row r="2337" s="211" customFormat="1" ht="13.8" spans="1:13">
      <c r="A2337" s="391"/>
      <c r="B2337" s="391"/>
      <c r="C2337" s="391"/>
      <c r="D2337" s="391"/>
      <c r="E2337" s="391"/>
      <c r="F2337" s="391"/>
      <c r="G2337" s="167" t="s">
        <v>1270</v>
      </c>
      <c r="H2337" s="167">
        <f t="shared" si="219"/>
        <v>36</v>
      </c>
      <c r="I2337" s="167">
        <v>4</v>
      </c>
      <c r="J2337" s="391"/>
      <c r="K2337" s="391"/>
      <c r="L2337" s="392"/>
      <c r="M2337" s="391"/>
    </row>
    <row r="2338" s="211" customFormat="1" ht="13.8" spans="1:13">
      <c r="A2338" s="391"/>
      <c r="B2338" s="391"/>
      <c r="C2338" s="391"/>
      <c r="D2338" s="391"/>
      <c r="E2338" s="391"/>
      <c r="F2338" s="391"/>
      <c r="G2338" s="167" t="s">
        <v>1271</v>
      </c>
      <c r="H2338" s="167">
        <f t="shared" si="219"/>
        <v>40</v>
      </c>
      <c r="I2338" s="167">
        <v>4</v>
      </c>
      <c r="J2338" s="391"/>
      <c r="K2338" s="391"/>
      <c r="L2338" s="392"/>
      <c r="M2338" s="391"/>
    </row>
    <row r="2339" s="211" customFormat="1" spans="1:13">
      <c r="A2339" s="391"/>
      <c r="B2339" s="391"/>
      <c r="C2339" s="391"/>
      <c r="D2339" s="391"/>
      <c r="E2339" s="391"/>
      <c r="F2339" s="391"/>
      <c r="G2339" s="167" t="s">
        <v>88</v>
      </c>
      <c r="H2339" s="167">
        <f t="shared" si="219"/>
        <v>44</v>
      </c>
      <c r="I2339" s="167">
        <v>4</v>
      </c>
      <c r="J2339" s="391"/>
      <c r="K2339" s="391"/>
      <c r="L2339" s="392"/>
      <c r="M2339" s="391"/>
    </row>
    <row r="2340" s="211" customFormat="1" ht="13.8" spans="1:13">
      <c r="A2340" s="391"/>
      <c r="B2340" s="391"/>
      <c r="C2340" s="391"/>
      <c r="D2340" s="391"/>
      <c r="E2340" s="391"/>
      <c r="F2340" s="391"/>
      <c r="G2340" s="167" t="s">
        <v>1272</v>
      </c>
      <c r="H2340" s="167">
        <f t="shared" si="219"/>
        <v>48</v>
      </c>
      <c r="I2340" s="167">
        <v>4</v>
      </c>
      <c r="J2340" s="391"/>
      <c r="K2340" s="391"/>
      <c r="L2340" s="392"/>
      <c r="M2340" s="391"/>
    </row>
    <row r="2341" s="211" customFormat="1" ht="13.8" spans="1:13">
      <c r="A2341" s="391"/>
      <c r="B2341" s="391"/>
      <c r="C2341" s="391"/>
      <c r="D2341" s="391"/>
      <c r="E2341" s="391"/>
      <c r="F2341" s="391"/>
      <c r="G2341" s="167" t="s">
        <v>1273</v>
      </c>
      <c r="H2341" s="167">
        <f t="shared" si="219"/>
        <v>52</v>
      </c>
      <c r="I2341" s="167">
        <v>4</v>
      </c>
      <c r="J2341" s="391"/>
      <c r="K2341" s="391"/>
      <c r="L2341" s="392"/>
      <c r="M2341" s="391"/>
    </row>
    <row r="2342" s="211" customFormat="1" ht="13.8" spans="1:13">
      <c r="A2342" s="391"/>
      <c r="B2342" s="391"/>
      <c r="C2342" s="391"/>
      <c r="D2342" s="391"/>
      <c r="E2342" s="391"/>
      <c r="F2342" s="391"/>
      <c r="G2342" s="167" t="s">
        <v>1274</v>
      </c>
      <c r="H2342" s="167">
        <f t="shared" si="219"/>
        <v>56</v>
      </c>
      <c r="I2342" s="167">
        <v>4</v>
      </c>
      <c r="J2342" s="391"/>
      <c r="K2342" s="391"/>
      <c r="L2342" s="392"/>
      <c r="M2342" s="391"/>
    </row>
    <row r="2343" s="211" customFormat="1" ht="13.8" spans="1:13">
      <c r="A2343" s="391"/>
      <c r="B2343" s="391"/>
      <c r="C2343" s="391"/>
      <c r="D2343" s="391"/>
      <c r="E2343" s="391"/>
      <c r="F2343" s="391"/>
      <c r="G2343" s="167" t="s">
        <v>1275</v>
      </c>
      <c r="H2343" s="167">
        <f t="shared" si="219"/>
        <v>60</v>
      </c>
      <c r="I2343" s="167">
        <v>4</v>
      </c>
      <c r="J2343" s="391"/>
      <c r="K2343" s="391"/>
      <c r="L2343" s="392"/>
      <c r="M2343" s="391"/>
    </row>
    <row r="2344" s="211" customFormat="1" spans="1:13">
      <c r="A2344" s="391"/>
      <c r="B2344" s="391"/>
      <c r="C2344" s="391"/>
      <c r="D2344" s="391"/>
      <c r="E2344" s="391"/>
      <c r="F2344" s="391"/>
      <c r="G2344" s="167" t="s">
        <v>88</v>
      </c>
      <c r="H2344" s="167">
        <f t="shared" si="219"/>
        <v>64</v>
      </c>
      <c r="I2344" s="167">
        <v>4</v>
      </c>
      <c r="J2344" s="391"/>
      <c r="K2344" s="391"/>
      <c r="L2344" s="392"/>
      <c r="M2344" s="391"/>
    </row>
    <row r="2345" s="211" customFormat="1" ht="13.8" spans="1:13">
      <c r="A2345" s="391"/>
      <c r="B2345" s="391"/>
      <c r="C2345" s="391"/>
      <c r="D2345" s="391"/>
      <c r="E2345" s="391"/>
      <c r="F2345" s="391"/>
      <c r="G2345" s="167" t="s">
        <v>1276</v>
      </c>
      <c r="H2345" s="167">
        <f t="shared" si="219"/>
        <v>68</v>
      </c>
      <c r="I2345" s="167">
        <v>4</v>
      </c>
      <c r="J2345" s="391"/>
      <c r="K2345" s="391"/>
      <c r="L2345" s="392"/>
      <c r="M2345" s="391"/>
    </row>
    <row r="2346" s="211" customFormat="1" ht="13.8" spans="1:13">
      <c r="A2346" s="391"/>
      <c r="B2346" s="391"/>
      <c r="C2346" s="391"/>
      <c r="D2346" s="391"/>
      <c r="E2346" s="391"/>
      <c r="F2346" s="391"/>
      <c r="G2346" s="167" t="s">
        <v>1277</v>
      </c>
      <c r="H2346" s="167">
        <f t="shared" si="219"/>
        <v>72</v>
      </c>
      <c r="I2346" s="167">
        <v>4</v>
      </c>
      <c r="J2346" s="391"/>
      <c r="K2346" s="391"/>
      <c r="L2346" s="392"/>
      <c r="M2346" s="391"/>
    </row>
    <row r="2347" s="211" customFormat="1" ht="13.8" spans="1:13">
      <c r="A2347" s="391"/>
      <c r="B2347" s="391"/>
      <c r="C2347" s="391"/>
      <c r="D2347" s="391"/>
      <c r="E2347" s="391"/>
      <c r="F2347" s="391"/>
      <c r="G2347" s="167" t="s">
        <v>1278</v>
      </c>
      <c r="H2347" s="167">
        <f t="shared" si="219"/>
        <v>76</v>
      </c>
      <c r="I2347" s="167">
        <v>4</v>
      </c>
      <c r="J2347" s="391"/>
      <c r="K2347" s="391"/>
      <c r="L2347" s="392"/>
      <c r="M2347" s="391"/>
    </row>
    <row r="2348" s="211" customFormat="1" ht="13.8" spans="1:13">
      <c r="A2348" s="391"/>
      <c r="B2348" s="391"/>
      <c r="C2348" s="391"/>
      <c r="D2348" s="391"/>
      <c r="E2348" s="391"/>
      <c r="F2348" s="391"/>
      <c r="G2348" s="167" t="s">
        <v>1279</v>
      </c>
      <c r="H2348" s="167">
        <f t="shared" si="219"/>
        <v>80</v>
      </c>
      <c r="I2348" s="167">
        <v>4</v>
      </c>
      <c r="J2348" s="391"/>
      <c r="K2348" s="391"/>
      <c r="L2348" s="392"/>
      <c r="M2348" s="391"/>
    </row>
    <row r="2349" s="211" customFormat="1" spans="1:13">
      <c r="A2349" s="391"/>
      <c r="B2349" s="391"/>
      <c r="C2349" s="391"/>
      <c r="D2349" s="391"/>
      <c r="E2349" s="391"/>
      <c r="F2349" s="391"/>
      <c r="G2349" s="167" t="s">
        <v>88</v>
      </c>
      <c r="H2349" s="167">
        <f t="shared" si="219"/>
        <v>84</v>
      </c>
      <c r="I2349" s="167">
        <v>4</v>
      </c>
      <c r="J2349" s="391"/>
      <c r="K2349" s="391"/>
      <c r="L2349" s="392"/>
      <c r="M2349" s="391"/>
    </row>
    <row r="2350" s="211" customFormat="1" ht="13.8" spans="1:13">
      <c r="A2350" s="391"/>
      <c r="B2350" s="391"/>
      <c r="C2350" s="391"/>
      <c r="D2350" s="391"/>
      <c r="E2350" s="391"/>
      <c r="F2350" s="391"/>
      <c r="G2350" s="167" t="s">
        <v>1280</v>
      </c>
      <c r="H2350" s="167">
        <f t="shared" si="219"/>
        <v>88</v>
      </c>
      <c r="I2350" s="167">
        <v>4</v>
      </c>
      <c r="J2350" s="391"/>
      <c r="K2350" s="391"/>
      <c r="L2350" s="392"/>
      <c r="M2350" s="391"/>
    </row>
    <row r="2351" s="211" customFormat="1" ht="13.8" spans="1:13">
      <c r="A2351" s="391"/>
      <c r="B2351" s="391"/>
      <c r="C2351" s="391"/>
      <c r="D2351" s="391"/>
      <c r="E2351" s="391"/>
      <c r="F2351" s="391"/>
      <c r="G2351" s="167" t="s">
        <v>207</v>
      </c>
      <c r="H2351" s="167">
        <f t="shared" si="219"/>
        <v>92</v>
      </c>
      <c r="I2351" s="167">
        <v>4</v>
      </c>
      <c r="J2351" s="391"/>
      <c r="K2351" s="391"/>
      <c r="L2351" s="392"/>
      <c r="M2351" s="391"/>
    </row>
    <row r="2352" s="211" customFormat="1" ht="13.8" spans="1:13">
      <c r="A2352" s="391"/>
      <c r="B2352" s="391"/>
      <c r="C2352" s="391"/>
      <c r="D2352" s="391"/>
      <c r="E2352" s="391"/>
      <c r="F2352" s="391"/>
      <c r="G2352" s="167" t="s">
        <v>1260</v>
      </c>
      <c r="H2352" s="167">
        <f t="shared" si="219"/>
        <v>96</v>
      </c>
      <c r="I2352" s="167">
        <v>4</v>
      </c>
      <c r="J2352" s="391"/>
      <c r="K2352" s="391"/>
      <c r="L2352" s="392"/>
      <c r="M2352" s="391"/>
    </row>
    <row r="2353" s="211" customFormat="1" ht="13.8" spans="1:13">
      <c r="A2353" s="391"/>
      <c r="B2353" s="391"/>
      <c r="C2353" s="391"/>
      <c r="D2353" s="391"/>
      <c r="E2353" s="391"/>
      <c r="F2353" s="391"/>
      <c r="G2353" s="167" t="s">
        <v>1281</v>
      </c>
      <c r="H2353" s="167">
        <f t="shared" si="219"/>
        <v>100</v>
      </c>
      <c r="I2353" s="167">
        <v>4</v>
      </c>
      <c r="J2353" s="391"/>
      <c r="K2353" s="391"/>
      <c r="L2353" s="392"/>
      <c r="M2353" s="391"/>
    </row>
    <row r="2354" s="211" customFormat="1" spans="1:13">
      <c r="A2354" s="391"/>
      <c r="B2354" s="391"/>
      <c r="C2354" s="391"/>
      <c r="D2354" s="391"/>
      <c r="E2354" s="391"/>
      <c r="F2354" s="391"/>
      <c r="G2354" s="167" t="s">
        <v>88</v>
      </c>
      <c r="H2354" s="167">
        <f t="shared" si="219"/>
        <v>104</v>
      </c>
      <c r="I2354" s="167">
        <v>4</v>
      </c>
      <c r="J2354" s="391"/>
      <c r="K2354" s="391"/>
      <c r="L2354" s="392"/>
      <c r="M2354" s="391"/>
    </row>
    <row r="2355" s="211" customFormat="1" ht="13.8" spans="1:13">
      <c r="A2355" s="391"/>
      <c r="B2355" s="391"/>
      <c r="C2355" s="391"/>
      <c r="D2355" s="391"/>
      <c r="E2355" s="391"/>
      <c r="F2355" s="391"/>
      <c r="G2355" s="167" t="s">
        <v>1282</v>
      </c>
      <c r="H2355" s="167">
        <f t="shared" si="219"/>
        <v>108</v>
      </c>
      <c r="I2355" s="167">
        <v>4</v>
      </c>
      <c r="J2355" s="391"/>
      <c r="K2355" s="391"/>
      <c r="L2355" s="392"/>
      <c r="M2355" s="391"/>
    </row>
    <row r="2356" s="211" customFormat="1" ht="13.8" spans="1:13">
      <c r="A2356" s="391"/>
      <c r="B2356" s="391"/>
      <c r="C2356" s="391"/>
      <c r="D2356" s="391"/>
      <c r="E2356" s="391"/>
      <c r="F2356" s="391"/>
      <c r="G2356" s="167" t="s">
        <v>1283</v>
      </c>
      <c r="H2356" s="167">
        <f t="shared" si="219"/>
        <v>112</v>
      </c>
      <c r="I2356" s="167">
        <v>4</v>
      </c>
      <c r="J2356" s="391"/>
      <c r="K2356" s="391"/>
      <c r="L2356" s="392"/>
      <c r="M2356" s="391"/>
    </row>
    <row r="2357" s="211" customFormat="1" ht="13.8" spans="1:13">
      <c r="A2357" s="391"/>
      <c r="B2357" s="391"/>
      <c r="C2357" s="391"/>
      <c r="D2357" s="391"/>
      <c r="E2357" s="391"/>
      <c r="F2357" s="391"/>
      <c r="G2357" s="167" t="s">
        <v>1284</v>
      </c>
      <c r="H2357" s="167">
        <f t="shared" si="219"/>
        <v>116</v>
      </c>
      <c r="I2357" s="167">
        <v>4</v>
      </c>
      <c r="J2357" s="391"/>
      <c r="K2357" s="391"/>
      <c r="L2357" s="392"/>
      <c r="M2357" s="391"/>
    </row>
    <row r="2358" s="211" customFormat="1" ht="13.8" spans="1:13">
      <c r="A2358" s="391"/>
      <c r="B2358" s="391"/>
      <c r="C2358" s="391"/>
      <c r="D2358" s="391"/>
      <c r="E2358" s="391"/>
      <c r="F2358" s="391"/>
      <c r="G2358" s="167" t="s">
        <v>1285</v>
      </c>
      <c r="H2358" s="167">
        <f t="shared" si="219"/>
        <v>120</v>
      </c>
      <c r="I2358" s="167">
        <v>4</v>
      </c>
      <c r="J2358" s="391"/>
      <c r="K2358" s="391"/>
      <c r="L2358" s="392"/>
      <c r="M2358" s="391"/>
    </row>
    <row r="2359" s="211" customFormat="1" spans="1:13">
      <c r="A2359" s="391"/>
      <c r="B2359" s="391"/>
      <c r="C2359" s="391"/>
      <c r="D2359" s="391"/>
      <c r="E2359" s="391"/>
      <c r="F2359" s="391"/>
      <c r="G2359" s="167" t="s">
        <v>88</v>
      </c>
      <c r="H2359" s="167">
        <f t="shared" si="219"/>
        <v>124</v>
      </c>
      <c r="I2359" s="167">
        <v>4</v>
      </c>
      <c r="J2359" s="391"/>
      <c r="K2359" s="391"/>
      <c r="L2359" s="392"/>
      <c r="M2359" s="391"/>
    </row>
    <row r="2360" s="211" customFormat="1" ht="13.8" spans="1:13">
      <c r="A2360" s="391"/>
      <c r="B2360" s="391"/>
      <c r="C2360" s="391"/>
      <c r="D2360" s="391"/>
      <c r="E2360" s="391"/>
      <c r="F2360" s="391"/>
      <c r="G2360" s="167" t="s">
        <v>1286</v>
      </c>
      <c r="H2360" s="167">
        <f t="shared" si="219"/>
        <v>128</v>
      </c>
      <c r="I2360" s="167">
        <v>4</v>
      </c>
      <c r="J2360" s="391"/>
      <c r="K2360" s="391"/>
      <c r="L2360" s="392"/>
      <c r="M2360" s="391"/>
    </row>
    <row r="2361" s="211" customFormat="1" ht="13.8" spans="1:13">
      <c r="A2361" s="391"/>
      <c r="B2361" s="391"/>
      <c r="C2361" s="391"/>
      <c r="D2361" s="391"/>
      <c r="E2361" s="391"/>
      <c r="F2361" s="391"/>
      <c r="G2361" s="167" t="s">
        <v>1287</v>
      </c>
      <c r="H2361" s="167">
        <f t="shared" si="219"/>
        <v>132</v>
      </c>
      <c r="I2361" s="167">
        <v>4</v>
      </c>
      <c r="J2361" s="391"/>
      <c r="K2361" s="391"/>
      <c r="L2361" s="392"/>
      <c r="M2361" s="391"/>
    </row>
    <row r="2362" s="211" customFormat="1" ht="13.8" spans="1:13">
      <c r="A2362" s="391"/>
      <c r="B2362" s="391"/>
      <c r="C2362" s="391"/>
      <c r="D2362" s="391"/>
      <c r="E2362" s="391"/>
      <c r="F2362" s="391"/>
      <c r="G2362" s="167" t="s">
        <v>1288</v>
      </c>
      <c r="H2362" s="167">
        <f t="shared" si="219"/>
        <v>136</v>
      </c>
      <c r="I2362" s="167">
        <v>4</v>
      </c>
      <c r="J2362" s="391"/>
      <c r="K2362" s="391"/>
      <c r="L2362" s="392"/>
      <c r="M2362" s="391"/>
    </row>
    <row r="2363" s="211" customFormat="1" ht="13.8" spans="1:13">
      <c r="A2363" s="391"/>
      <c r="B2363" s="391"/>
      <c r="C2363" s="391"/>
      <c r="D2363" s="391"/>
      <c r="E2363" s="391"/>
      <c r="F2363" s="391"/>
      <c r="G2363" s="167" t="s">
        <v>1289</v>
      </c>
      <c r="H2363" s="167">
        <f t="shared" si="219"/>
        <v>140</v>
      </c>
      <c r="I2363" s="167">
        <v>4</v>
      </c>
      <c r="J2363" s="391"/>
      <c r="K2363" s="391"/>
      <c r="L2363" s="392"/>
      <c r="M2363" s="391"/>
    </row>
    <row r="2364" s="211" customFormat="1" spans="1:13">
      <c r="A2364" s="391"/>
      <c r="B2364" s="391"/>
      <c r="C2364" s="391"/>
      <c r="D2364" s="391"/>
      <c r="E2364" s="391"/>
      <c r="F2364" s="391"/>
      <c r="G2364" s="167" t="s">
        <v>88</v>
      </c>
      <c r="H2364" s="167">
        <f t="shared" si="219"/>
        <v>144</v>
      </c>
      <c r="I2364" s="167">
        <v>4</v>
      </c>
      <c r="J2364" s="391"/>
      <c r="K2364" s="391"/>
      <c r="L2364" s="392"/>
      <c r="M2364" s="391"/>
    </row>
    <row r="2365" s="211" customFormat="1" ht="13.8" spans="1:13">
      <c r="A2365" s="391"/>
      <c r="B2365" s="391"/>
      <c r="C2365" s="391"/>
      <c r="D2365" s="391"/>
      <c r="E2365" s="391"/>
      <c r="F2365" s="391"/>
      <c r="G2365" s="167" t="s">
        <v>33</v>
      </c>
      <c r="H2365" s="167">
        <f t="shared" si="219"/>
        <v>148</v>
      </c>
      <c r="I2365" s="167">
        <v>4</v>
      </c>
      <c r="J2365" s="391"/>
      <c r="K2365" s="391"/>
      <c r="L2365" s="392"/>
      <c r="M2365" s="391"/>
    </row>
    <row r="2366" s="211" customFormat="1" ht="13.8" spans="1:13">
      <c r="A2366" s="391"/>
      <c r="B2366" s="391"/>
      <c r="C2366" s="391"/>
      <c r="D2366" s="391"/>
      <c r="E2366" s="391"/>
      <c r="F2366" s="391"/>
      <c r="G2366" s="167" t="s">
        <v>34</v>
      </c>
      <c r="H2366" s="167">
        <f t="shared" si="219"/>
        <v>152</v>
      </c>
      <c r="I2366" s="167">
        <v>4</v>
      </c>
      <c r="J2366" s="391"/>
      <c r="K2366" s="391"/>
      <c r="L2366" s="392"/>
      <c r="M2366" s="391"/>
    </row>
    <row r="2367" s="211" customFormat="1" spans="1:13">
      <c r="A2367" s="221" t="s">
        <v>1297</v>
      </c>
      <c r="B2367" s="393" t="s">
        <v>1298</v>
      </c>
      <c r="C2367" s="393" t="s">
        <v>1299</v>
      </c>
      <c r="D2367" s="221" t="s">
        <v>16</v>
      </c>
      <c r="E2367" s="221">
        <v>7081</v>
      </c>
      <c r="F2367" s="221" t="s">
        <v>17</v>
      </c>
      <c r="G2367" s="164" t="s">
        <v>87</v>
      </c>
      <c r="H2367" s="164">
        <v>0</v>
      </c>
      <c r="I2367" s="164">
        <v>4</v>
      </c>
      <c r="J2367" s="394" t="s">
        <v>19</v>
      </c>
      <c r="K2367" s="221">
        <v>500</v>
      </c>
      <c r="L2367" s="395"/>
      <c r="M2367" s="396">
        <v>1301107</v>
      </c>
    </row>
    <row r="2368" s="211" customFormat="1" spans="1:13">
      <c r="A2368" s="225"/>
      <c r="B2368" s="225"/>
      <c r="C2368" s="225"/>
      <c r="D2368" s="225"/>
      <c r="E2368" s="225"/>
      <c r="F2368" s="225"/>
      <c r="G2368" s="164" t="s">
        <v>20</v>
      </c>
      <c r="H2368" s="222">
        <v>4</v>
      </c>
      <c r="I2368" s="223">
        <v>4</v>
      </c>
      <c r="J2368" s="397"/>
      <c r="K2368" s="225"/>
      <c r="L2368" s="395"/>
      <c r="M2368" s="398"/>
    </row>
    <row r="2369" s="211" customFormat="1" ht="13.8" spans="1:13">
      <c r="A2369" s="225"/>
      <c r="B2369" s="225"/>
      <c r="C2369" s="225"/>
      <c r="D2369" s="225"/>
      <c r="E2369" s="225"/>
      <c r="F2369" s="225"/>
      <c r="G2369" s="399" t="s">
        <v>1300</v>
      </c>
      <c r="H2369" s="222">
        <v>8</v>
      </c>
      <c r="I2369" s="223">
        <v>4</v>
      </c>
      <c r="J2369" s="397"/>
      <c r="K2369" s="225"/>
      <c r="L2369" s="395"/>
      <c r="M2369" s="398"/>
    </row>
    <row r="2370" s="211" customFormat="1" ht="13.8" spans="1:13">
      <c r="A2370" s="225"/>
      <c r="B2370" s="225"/>
      <c r="C2370" s="225"/>
      <c r="D2370" s="225"/>
      <c r="E2370" s="225"/>
      <c r="F2370" s="225"/>
      <c r="G2370" s="399" t="s">
        <v>56</v>
      </c>
      <c r="H2370" s="222">
        <v>12</v>
      </c>
      <c r="I2370" s="223">
        <v>4</v>
      </c>
      <c r="J2370" s="397"/>
      <c r="K2370" s="225"/>
      <c r="L2370" s="395"/>
      <c r="M2370" s="398"/>
    </row>
    <row r="2371" s="211" customFormat="1" ht="13.8" spans="1:13">
      <c r="A2371" s="225"/>
      <c r="B2371" s="225"/>
      <c r="C2371" s="225"/>
      <c r="D2371" s="225"/>
      <c r="E2371" s="225"/>
      <c r="F2371" s="225"/>
      <c r="G2371" s="399" t="s">
        <v>57</v>
      </c>
      <c r="H2371" s="222">
        <v>16</v>
      </c>
      <c r="I2371" s="223">
        <v>4</v>
      </c>
      <c r="J2371" s="397"/>
      <c r="K2371" s="225"/>
      <c r="L2371" s="395"/>
      <c r="M2371" s="398"/>
    </row>
    <row r="2372" s="211" customFormat="1" ht="13.8" spans="1:13">
      <c r="A2372" s="225"/>
      <c r="B2372" s="225"/>
      <c r="C2372" s="225"/>
      <c r="D2372" s="225"/>
      <c r="E2372" s="225"/>
      <c r="F2372" s="225"/>
      <c r="G2372" s="399" t="s">
        <v>61</v>
      </c>
      <c r="H2372" s="222">
        <v>20</v>
      </c>
      <c r="I2372" s="223">
        <v>4</v>
      </c>
      <c r="J2372" s="397"/>
      <c r="K2372" s="225"/>
      <c r="L2372" s="395"/>
      <c r="M2372" s="398"/>
    </row>
    <row r="2373" s="211" customFormat="1" spans="1:13">
      <c r="A2373" s="225"/>
      <c r="B2373" s="225"/>
      <c r="C2373" s="225"/>
      <c r="D2373" s="225"/>
      <c r="E2373" s="225"/>
      <c r="F2373" s="225"/>
      <c r="G2373" s="164" t="s">
        <v>20</v>
      </c>
      <c r="H2373" s="222">
        <v>24</v>
      </c>
      <c r="I2373" s="223">
        <v>4</v>
      </c>
      <c r="J2373" s="397"/>
      <c r="K2373" s="225"/>
      <c r="L2373" s="395"/>
      <c r="M2373" s="398"/>
    </row>
    <row r="2374" s="211" customFormat="1" ht="13.8" spans="1:13">
      <c r="A2374" s="225"/>
      <c r="B2374" s="225"/>
      <c r="C2374" s="225"/>
      <c r="D2374" s="225"/>
      <c r="E2374" s="225"/>
      <c r="F2374" s="225"/>
      <c r="G2374" s="164" t="s">
        <v>66</v>
      </c>
      <c r="H2374" s="222">
        <v>28</v>
      </c>
      <c r="I2374" s="223">
        <v>4</v>
      </c>
      <c r="J2374" s="397"/>
      <c r="K2374" s="225"/>
      <c r="L2374" s="395"/>
      <c r="M2374" s="398"/>
    </row>
    <row r="2375" s="211" customFormat="1" ht="13.8" spans="1:13">
      <c r="A2375" s="225"/>
      <c r="B2375" s="225"/>
      <c r="C2375" s="225"/>
      <c r="D2375" s="225"/>
      <c r="E2375" s="225"/>
      <c r="F2375" s="225"/>
      <c r="G2375" s="399" t="s">
        <v>1301</v>
      </c>
      <c r="H2375" s="222">
        <v>32</v>
      </c>
      <c r="I2375" s="223">
        <v>4</v>
      </c>
      <c r="J2375" s="397"/>
      <c r="K2375" s="225"/>
      <c r="L2375" s="395"/>
      <c r="M2375" s="398"/>
    </row>
    <row r="2376" s="211" customFormat="1" ht="13.8" spans="1:13">
      <c r="A2376" s="225"/>
      <c r="B2376" s="225"/>
      <c r="C2376" s="225"/>
      <c r="D2376" s="225"/>
      <c r="E2376" s="225"/>
      <c r="F2376" s="225"/>
      <c r="G2376" s="399" t="s">
        <v>42</v>
      </c>
      <c r="H2376" s="222">
        <v>36</v>
      </c>
      <c r="I2376" s="223">
        <v>4</v>
      </c>
      <c r="J2376" s="397"/>
      <c r="K2376" s="225"/>
      <c r="L2376" s="395"/>
      <c r="M2376" s="398"/>
    </row>
    <row r="2377" s="211" customFormat="1" ht="13.8" spans="1:13">
      <c r="A2377" s="225"/>
      <c r="B2377" s="225"/>
      <c r="C2377" s="225"/>
      <c r="D2377" s="225"/>
      <c r="E2377" s="225"/>
      <c r="F2377" s="225"/>
      <c r="G2377" s="399" t="s">
        <v>1302</v>
      </c>
      <c r="H2377" s="222">
        <v>40</v>
      </c>
      <c r="I2377" s="223">
        <v>4</v>
      </c>
      <c r="J2377" s="397"/>
      <c r="K2377" s="225"/>
      <c r="L2377" s="395"/>
      <c r="M2377" s="398"/>
    </row>
    <row r="2378" s="211" customFormat="1" spans="1:13">
      <c r="A2378" s="225"/>
      <c r="B2378" s="225"/>
      <c r="C2378" s="225"/>
      <c r="D2378" s="225"/>
      <c r="E2378" s="225"/>
      <c r="F2378" s="225"/>
      <c r="G2378" s="164" t="s">
        <v>20</v>
      </c>
      <c r="H2378" s="222">
        <v>44</v>
      </c>
      <c r="I2378" s="223">
        <v>4</v>
      </c>
      <c r="J2378" s="397"/>
      <c r="K2378" s="225"/>
      <c r="L2378" s="395"/>
      <c r="M2378" s="398"/>
    </row>
    <row r="2379" s="211" customFormat="1" ht="13.8" spans="1:13">
      <c r="A2379" s="227"/>
      <c r="B2379" s="227"/>
      <c r="C2379" s="227"/>
      <c r="D2379" s="227"/>
      <c r="E2379" s="227"/>
      <c r="F2379" s="227"/>
      <c r="G2379" s="164" t="s">
        <v>1303</v>
      </c>
      <c r="H2379" s="222">
        <v>48</v>
      </c>
      <c r="I2379" s="223">
        <v>4</v>
      </c>
      <c r="J2379" s="400"/>
      <c r="K2379" s="227"/>
      <c r="L2379" s="395"/>
      <c r="M2379" s="401"/>
    </row>
    <row r="2380" s="211" customFormat="1" spans="1:13">
      <c r="A2380" s="222" t="s">
        <v>1304</v>
      </c>
      <c r="B2380" s="222" t="s">
        <v>1305</v>
      </c>
      <c r="C2380" s="222" t="s">
        <v>1306</v>
      </c>
      <c r="D2380" s="222" t="s">
        <v>16</v>
      </c>
      <c r="E2380" s="222">
        <v>7082</v>
      </c>
      <c r="F2380" s="222" t="s">
        <v>17</v>
      </c>
      <c r="G2380" s="164" t="s">
        <v>18</v>
      </c>
      <c r="H2380" s="222">
        <v>0</v>
      </c>
      <c r="I2380" s="223">
        <v>4</v>
      </c>
      <c r="J2380" s="394" t="s">
        <v>19</v>
      </c>
      <c r="K2380" s="221">
        <v>100</v>
      </c>
      <c r="L2380" s="224"/>
      <c r="M2380" s="394">
        <v>1301107</v>
      </c>
    </row>
    <row r="2381" s="211" customFormat="1" spans="1:13">
      <c r="A2381" s="222"/>
      <c r="B2381" s="222"/>
      <c r="C2381" s="222"/>
      <c r="D2381" s="222"/>
      <c r="E2381" s="222"/>
      <c r="F2381" s="222"/>
      <c r="G2381" s="164" t="s">
        <v>20</v>
      </c>
      <c r="H2381" s="222">
        <v>4</v>
      </c>
      <c r="I2381" s="223">
        <v>4</v>
      </c>
      <c r="J2381" s="397"/>
      <c r="K2381" s="225"/>
      <c r="L2381" s="224"/>
      <c r="M2381" s="397"/>
    </row>
    <row r="2382" s="211" customFormat="1" ht="13.8" spans="1:13">
      <c r="A2382" s="222"/>
      <c r="B2382" s="222"/>
      <c r="C2382" s="222"/>
      <c r="D2382" s="222"/>
      <c r="E2382" s="222"/>
      <c r="F2382" s="222"/>
      <c r="G2382" s="399" t="s">
        <v>1307</v>
      </c>
      <c r="H2382" s="222">
        <v>8</v>
      </c>
      <c r="I2382" s="223">
        <v>4</v>
      </c>
      <c r="J2382" s="397"/>
      <c r="K2382" s="225"/>
      <c r="L2382" s="224"/>
      <c r="M2382" s="397"/>
    </row>
    <row r="2383" s="211" customFormat="1" ht="13.8" spans="1:13">
      <c r="A2383" s="222"/>
      <c r="B2383" s="222"/>
      <c r="C2383" s="222"/>
      <c r="D2383" s="222"/>
      <c r="E2383" s="222"/>
      <c r="F2383" s="222"/>
      <c r="G2383" s="399" t="s">
        <v>1308</v>
      </c>
      <c r="H2383" s="222">
        <v>12</v>
      </c>
      <c r="I2383" s="223">
        <v>4</v>
      </c>
      <c r="J2383" s="397"/>
      <c r="K2383" s="225"/>
      <c r="L2383" s="224"/>
      <c r="M2383" s="397"/>
    </row>
    <row r="2384" s="211" customFormat="1" ht="13.8" spans="1:13">
      <c r="A2384" s="222"/>
      <c r="B2384" s="222"/>
      <c r="C2384" s="222"/>
      <c r="D2384" s="222"/>
      <c r="E2384" s="222"/>
      <c r="F2384" s="222"/>
      <c r="G2384" s="399" t="s">
        <v>1309</v>
      </c>
      <c r="H2384" s="222">
        <v>16</v>
      </c>
      <c r="I2384" s="223">
        <v>4</v>
      </c>
      <c r="J2384" s="397"/>
      <c r="K2384" s="225"/>
      <c r="L2384" s="224"/>
      <c r="M2384" s="397"/>
    </row>
    <row r="2385" s="211" customFormat="1" ht="13.8" spans="1:13">
      <c r="A2385" s="222"/>
      <c r="B2385" s="222"/>
      <c r="C2385" s="222"/>
      <c r="D2385" s="222"/>
      <c r="E2385" s="222"/>
      <c r="F2385" s="222"/>
      <c r="G2385" s="399" t="s">
        <v>1310</v>
      </c>
      <c r="H2385" s="222">
        <v>20</v>
      </c>
      <c r="I2385" s="223">
        <v>4</v>
      </c>
      <c r="J2385" s="397"/>
      <c r="K2385" s="225"/>
      <c r="L2385" s="224"/>
      <c r="M2385" s="397"/>
    </row>
    <row r="2386" s="211" customFormat="1" spans="1:13">
      <c r="A2386" s="222"/>
      <c r="B2386" s="222"/>
      <c r="C2386" s="222"/>
      <c r="D2386" s="222"/>
      <c r="E2386" s="222"/>
      <c r="F2386" s="222"/>
      <c r="G2386" s="164" t="s">
        <v>20</v>
      </c>
      <c r="H2386" s="222">
        <v>24</v>
      </c>
      <c r="I2386" s="223">
        <v>4</v>
      </c>
      <c r="J2386" s="397"/>
      <c r="K2386" s="225"/>
      <c r="L2386" s="224"/>
      <c r="M2386" s="397"/>
    </row>
    <row r="2387" spans="1:13">
      <c r="A2387" s="222"/>
      <c r="B2387" s="222"/>
      <c r="C2387" s="222"/>
      <c r="D2387" s="222"/>
      <c r="E2387" s="222"/>
      <c r="F2387" s="222"/>
      <c r="G2387" s="399" t="s">
        <v>52</v>
      </c>
      <c r="H2387" s="222">
        <v>28</v>
      </c>
      <c r="I2387" s="223">
        <v>4</v>
      </c>
      <c r="J2387" s="397"/>
      <c r="K2387" s="225"/>
      <c r="L2387" s="224"/>
      <c r="M2387" s="397"/>
    </row>
    <row r="2388" spans="1:13">
      <c r="A2388" s="222"/>
      <c r="B2388" s="222"/>
      <c r="C2388" s="222"/>
      <c r="D2388" s="222"/>
      <c r="E2388" s="222"/>
      <c r="F2388" s="222"/>
      <c r="G2388" s="399" t="s">
        <v>1311</v>
      </c>
      <c r="H2388" s="222">
        <v>32</v>
      </c>
      <c r="I2388" s="223">
        <v>4</v>
      </c>
      <c r="J2388" s="397"/>
      <c r="K2388" s="225"/>
      <c r="L2388" s="224"/>
      <c r="M2388" s="397"/>
    </row>
    <row r="2389" spans="1:13">
      <c r="A2389" s="222"/>
      <c r="B2389" s="222"/>
      <c r="C2389" s="222"/>
      <c r="D2389" s="222"/>
      <c r="E2389" s="222"/>
      <c r="F2389" s="222"/>
      <c r="G2389" s="399" t="s">
        <v>1312</v>
      </c>
      <c r="H2389" s="222">
        <v>36</v>
      </c>
      <c r="I2389" s="223">
        <v>4</v>
      </c>
      <c r="J2389" s="397"/>
      <c r="K2389" s="225"/>
      <c r="L2389" s="224"/>
      <c r="M2389" s="397"/>
    </row>
    <row r="2390" spans="1:13">
      <c r="A2390" s="222"/>
      <c r="B2390" s="222"/>
      <c r="C2390" s="222"/>
      <c r="D2390" s="222"/>
      <c r="E2390" s="222"/>
      <c r="F2390" s="222"/>
      <c r="G2390" s="399" t="s">
        <v>1313</v>
      </c>
      <c r="H2390" s="222">
        <v>40</v>
      </c>
      <c r="I2390" s="223">
        <v>4</v>
      </c>
      <c r="J2390" s="397"/>
      <c r="K2390" s="225"/>
      <c r="L2390" s="224"/>
      <c r="M2390" s="397"/>
    </row>
    <row r="2391" spans="1:13">
      <c r="A2391" s="222"/>
      <c r="B2391" s="222"/>
      <c r="C2391" s="222"/>
      <c r="D2391" s="222"/>
      <c r="E2391" s="222"/>
      <c r="F2391" s="222"/>
      <c r="G2391" s="164" t="s">
        <v>20</v>
      </c>
      <c r="H2391" s="222">
        <v>44</v>
      </c>
      <c r="I2391" s="223">
        <v>4</v>
      </c>
      <c r="J2391" s="397"/>
      <c r="K2391" s="225"/>
      <c r="L2391" s="224"/>
      <c r="M2391" s="397"/>
    </row>
    <row r="2392" spans="1:13">
      <c r="A2392" s="222"/>
      <c r="B2392" s="222"/>
      <c r="C2392" s="222"/>
      <c r="D2392" s="222"/>
      <c r="E2392" s="222"/>
      <c r="F2392" s="222"/>
      <c r="G2392" s="399" t="s">
        <v>1314</v>
      </c>
      <c r="H2392" s="222">
        <v>48</v>
      </c>
      <c r="I2392" s="223">
        <v>4</v>
      </c>
      <c r="J2392" s="397"/>
      <c r="K2392" s="225"/>
      <c r="L2392" s="224"/>
      <c r="M2392" s="397"/>
    </row>
    <row r="2393" spans="1:13">
      <c r="A2393" s="222"/>
      <c r="B2393" s="222"/>
      <c r="C2393" s="222"/>
      <c r="D2393" s="222"/>
      <c r="E2393" s="222"/>
      <c r="F2393" s="222"/>
      <c r="G2393" s="399" t="s">
        <v>1315</v>
      </c>
      <c r="H2393" s="222">
        <v>52</v>
      </c>
      <c r="I2393" s="223">
        <v>4</v>
      </c>
      <c r="J2393" s="397"/>
      <c r="K2393" s="225"/>
      <c r="L2393" s="224"/>
      <c r="M2393" s="397"/>
    </row>
    <row r="2394" spans="1:13">
      <c r="A2394" s="222"/>
      <c r="B2394" s="222"/>
      <c r="C2394" s="222"/>
      <c r="D2394" s="222"/>
      <c r="E2394" s="222"/>
      <c r="F2394" s="222"/>
      <c r="G2394" s="399" t="s">
        <v>1316</v>
      </c>
      <c r="H2394" s="222">
        <v>56</v>
      </c>
      <c r="I2394" s="223">
        <v>4</v>
      </c>
      <c r="J2394" s="397"/>
      <c r="K2394" s="225"/>
      <c r="L2394" s="224"/>
      <c r="M2394" s="397"/>
    </row>
    <row r="2395" spans="1:13">
      <c r="A2395" s="222"/>
      <c r="B2395" s="222"/>
      <c r="C2395" s="222"/>
      <c r="D2395" s="222"/>
      <c r="E2395" s="222"/>
      <c r="F2395" s="222"/>
      <c r="G2395" s="399" t="s">
        <v>1317</v>
      </c>
      <c r="H2395" s="222">
        <v>60</v>
      </c>
      <c r="I2395" s="223">
        <v>4</v>
      </c>
      <c r="J2395" s="397"/>
      <c r="K2395" s="225"/>
      <c r="L2395" s="224"/>
      <c r="M2395" s="397"/>
    </row>
    <row r="2396" spans="1:13">
      <c r="A2396" s="222"/>
      <c r="B2396" s="222"/>
      <c r="C2396" s="222"/>
      <c r="D2396" s="222"/>
      <c r="E2396" s="222"/>
      <c r="F2396" s="222"/>
      <c r="G2396" s="164" t="s">
        <v>20</v>
      </c>
      <c r="H2396" s="222">
        <v>64</v>
      </c>
      <c r="I2396" s="223">
        <v>4</v>
      </c>
      <c r="J2396" s="397"/>
      <c r="K2396" s="225"/>
      <c r="L2396" s="224"/>
      <c r="M2396" s="397"/>
    </row>
    <row r="2397" spans="1:13">
      <c r="A2397" s="222"/>
      <c r="B2397" s="222"/>
      <c r="C2397" s="222"/>
      <c r="D2397" s="222"/>
      <c r="E2397" s="222"/>
      <c r="F2397" s="222"/>
      <c r="G2397" s="399" t="s">
        <v>1318</v>
      </c>
      <c r="H2397" s="222">
        <v>68</v>
      </c>
      <c r="I2397" s="223">
        <v>4</v>
      </c>
      <c r="J2397" s="397"/>
      <c r="K2397" s="225"/>
      <c r="L2397" s="224"/>
      <c r="M2397" s="397"/>
    </row>
    <row r="2398" spans="1:13">
      <c r="A2398" s="222"/>
      <c r="B2398" s="222"/>
      <c r="C2398" s="222"/>
      <c r="D2398" s="222"/>
      <c r="E2398" s="222"/>
      <c r="F2398" s="222"/>
      <c r="G2398" s="399" t="s">
        <v>1319</v>
      </c>
      <c r="H2398" s="222">
        <v>72</v>
      </c>
      <c r="I2398" s="223">
        <v>4</v>
      </c>
      <c r="J2398" s="397"/>
      <c r="K2398" s="225"/>
      <c r="L2398" s="224"/>
      <c r="M2398" s="397"/>
    </row>
    <row r="2399" spans="1:13">
      <c r="A2399" s="222"/>
      <c r="B2399" s="222"/>
      <c r="C2399" s="222"/>
      <c r="D2399" s="222"/>
      <c r="E2399" s="222"/>
      <c r="F2399" s="222"/>
      <c r="G2399" s="399" t="s">
        <v>1320</v>
      </c>
      <c r="H2399" s="222">
        <v>76</v>
      </c>
      <c r="I2399" s="223">
        <v>4</v>
      </c>
      <c r="J2399" s="397"/>
      <c r="K2399" s="225"/>
      <c r="L2399" s="224"/>
      <c r="M2399" s="397"/>
    </row>
    <row r="2400" spans="1:13">
      <c r="A2400" s="222"/>
      <c r="B2400" s="222"/>
      <c r="C2400" s="222"/>
      <c r="D2400" s="222"/>
      <c r="E2400" s="222"/>
      <c r="F2400" s="222"/>
      <c r="G2400" s="399" t="s">
        <v>208</v>
      </c>
      <c r="H2400" s="222">
        <v>80</v>
      </c>
      <c r="I2400" s="223">
        <v>4</v>
      </c>
      <c r="J2400" s="397"/>
      <c r="K2400" s="225"/>
      <c r="L2400" s="224"/>
      <c r="M2400" s="397"/>
    </row>
    <row r="2401" spans="1:13">
      <c r="A2401" s="222"/>
      <c r="B2401" s="222"/>
      <c r="C2401" s="222"/>
      <c r="D2401" s="222"/>
      <c r="E2401" s="222"/>
      <c r="F2401" s="222"/>
      <c r="G2401" s="164" t="s">
        <v>20</v>
      </c>
      <c r="H2401" s="222">
        <v>84</v>
      </c>
      <c r="I2401" s="223">
        <v>4</v>
      </c>
      <c r="J2401" s="397"/>
      <c r="K2401" s="225"/>
      <c r="L2401" s="224"/>
      <c r="M2401" s="397"/>
    </row>
    <row r="2402" spans="1:13">
      <c r="A2402" s="222"/>
      <c r="B2402" s="222"/>
      <c r="C2402" s="222"/>
      <c r="D2402" s="222"/>
      <c r="E2402" s="222"/>
      <c r="F2402" s="222"/>
      <c r="G2402" s="399" t="s">
        <v>1321</v>
      </c>
      <c r="H2402" s="222">
        <v>88</v>
      </c>
      <c r="I2402" s="223">
        <v>4</v>
      </c>
      <c r="J2402" s="397"/>
      <c r="K2402" s="225"/>
      <c r="L2402" s="224"/>
      <c r="M2402" s="397"/>
    </row>
    <row r="2403" spans="1:13">
      <c r="A2403" s="222"/>
      <c r="B2403" s="222"/>
      <c r="C2403" s="222"/>
      <c r="D2403" s="222"/>
      <c r="E2403" s="222"/>
      <c r="F2403" s="222"/>
      <c r="G2403" s="399" t="s">
        <v>1322</v>
      </c>
      <c r="H2403" s="222">
        <v>92</v>
      </c>
      <c r="I2403" s="223">
        <v>4</v>
      </c>
      <c r="J2403" s="397"/>
      <c r="K2403" s="225"/>
      <c r="L2403" s="224"/>
      <c r="M2403" s="397"/>
    </row>
    <row r="2404" spans="1:13">
      <c r="A2404" s="222"/>
      <c r="B2404" s="222"/>
      <c r="C2404" s="222"/>
      <c r="D2404" s="222"/>
      <c r="E2404" s="222"/>
      <c r="F2404" s="222"/>
      <c r="G2404" s="399" t="s">
        <v>1323</v>
      </c>
      <c r="H2404" s="222">
        <v>96</v>
      </c>
      <c r="I2404" s="223">
        <v>4</v>
      </c>
      <c r="J2404" s="397"/>
      <c r="K2404" s="225"/>
      <c r="L2404" s="224"/>
      <c r="M2404" s="397"/>
    </row>
    <row r="2405" spans="1:13">
      <c r="A2405" s="222"/>
      <c r="B2405" s="222"/>
      <c r="C2405" s="222"/>
      <c r="D2405" s="222"/>
      <c r="E2405" s="222"/>
      <c r="F2405" s="222"/>
      <c r="G2405" s="399" t="s">
        <v>1324</v>
      </c>
      <c r="H2405" s="222">
        <v>100</v>
      </c>
      <c r="I2405" s="223">
        <v>4</v>
      </c>
      <c r="J2405" s="397"/>
      <c r="K2405" s="225"/>
      <c r="L2405" s="224"/>
      <c r="M2405" s="397"/>
    </row>
    <row r="2406" spans="1:13">
      <c r="A2406" s="222"/>
      <c r="B2406" s="222"/>
      <c r="C2406" s="222"/>
      <c r="D2406" s="222"/>
      <c r="E2406" s="222"/>
      <c r="F2406" s="222"/>
      <c r="G2406" s="164" t="s">
        <v>20</v>
      </c>
      <c r="H2406" s="222">
        <v>104</v>
      </c>
      <c r="I2406" s="223">
        <v>4</v>
      </c>
      <c r="J2406" s="397"/>
      <c r="K2406" s="225"/>
      <c r="L2406" s="224"/>
      <c r="M2406" s="397"/>
    </row>
    <row r="2407" spans="1:13">
      <c r="A2407" s="222"/>
      <c r="B2407" s="222"/>
      <c r="C2407" s="222"/>
      <c r="D2407" s="222"/>
      <c r="E2407" s="222"/>
      <c r="F2407" s="222"/>
      <c r="G2407" s="399" t="s">
        <v>1325</v>
      </c>
      <c r="H2407" s="222">
        <v>108</v>
      </c>
      <c r="I2407" s="223">
        <v>4</v>
      </c>
      <c r="J2407" s="397"/>
      <c r="K2407" s="225"/>
      <c r="L2407" s="224"/>
      <c r="M2407" s="397"/>
    </row>
    <row r="2408" spans="1:13">
      <c r="A2408" s="222"/>
      <c r="B2408" s="222"/>
      <c r="C2408" s="222"/>
      <c r="D2408" s="222"/>
      <c r="E2408" s="222"/>
      <c r="F2408" s="222"/>
      <c r="G2408" s="399" t="s">
        <v>1326</v>
      </c>
      <c r="H2408" s="222">
        <v>112</v>
      </c>
      <c r="I2408" s="223">
        <v>4</v>
      </c>
      <c r="J2408" s="397"/>
      <c r="K2408" s="225"/>
      <c r="L2408" s="224"/>
      <c r="M2408" s="397"/>
    </row>
    <row r="2409" spans="1:13">
      <c r="A2409" s="222"/>
      <c r="B2409" s="222"/>
      <c r="C2409" s="222"/>
      <c r="D2409" s="222"/>
      <c r="E2409" s="222"/>
      <c r="F2409" s="222"/>
      <c r="G2409" s="399" t="s">
        <v>1327</v>
      </c>
      <c r="H2409" s="222">
        <v>116</v>
      </c>
      <c r="I2409" s="223">
        <v>4</v>
      </c>
      <c r="J2409" s="397"/>
      <c r="K2409" s="225"/>
      <c r="L2409" s="224"/>
      <c r="M2409" s="397"/>
    </row>
  </sheetData>
  <autoFilter xmlns:etc="http://www.wps.cn/officeDocument/2017/etCustomData" ref="A1:N2409" etc:filterBottomFollowUsedRange="0">
    <extLst/>
  </autoFilter>
  <mergeCells count="717">
    <mergeCell ref="A2:A42"/>
    <mergeCell ref="A43:A47"/>
    <mergeCell ref="A48:A56"/>
    <mergeCell ref="A57:A97"/>
    <mergeCell ref="A98:A102"/>
    <mergeCell ref="A103:A111"/>
    <mergeCell ref="A112:A152"/>
    <mergeCell ref="A153:A157"/>
    <mergeCell ref="A158:A166"/>
    <mergeCell ref="A167:A170"/>
    <mergeCell ref="A171:A174"/>
    <mergeCell ref="A175:A178"/>
    <mergeCell ref="A179:A182"/>
    <mergeCell ref="A183:A185"/>
    <mergeCell ref="A186:A188"/>
    <mergeCell ref="A189:A192"/>
    <mergeCell ref="A193:A195"/>
    <mergeCell ref="A196:A198"/>
    <mergeCell ref="A199:A212"/>
    <mergeCell ref="A213:A226"/>
    <mergeCell ref="A227:A246"/>
    <mergeCell ref="A247:A266"/>
    <mergeCell ref="A267:A305"/>
    <mergeCell ref="A306:A344"/>
    <mergeCell ref="A345:A358"/>
    <mergeCell ref="A359:A372"/>
    <mergeCell ref="A373:A376"/>
    <mergeCell ref="A377:A380"/>
    <mergeCell ref="A381:A391"/>
    <mergeCell ref="A392:A402"/>
    <mergeCell ref="A403:A416"/>
    <mergeCell ref="A417:A456"/>
    <mergeCell ref="A457:A507"/>
    <mergeCell ref="A508:A521"/>
    <mergeCell ref="A522:A535"/>
    <mergeCell ref="A536:A586"/>
    <mergeCell ref="A587:A626"/>
    <mergeCell ref="A627:A640"/>
    <mergeCell ref="A641:A673"/>
    <mergeCell ref="A674:A756"/>
    <mergeCell ref="A757:A806"/>
    <mergeCell ref="A807:A889"/>
    <mergeCell ref="A890:A939"/>
    <mergeCell ref="A940:A1022"/>
    <mergeCell ref="A1023:A1072"/>
    <mergeCell ref="A1073:A1155"/>
    <mergeCell ref="A1156:A1205"/>
    <mergeCell ref="A1206:A1288"/>
    <mergeCell ref="A1289:A1338"/>
    <mergeCell ref="A1339:A1344"/>
    <mergeCell ref="A1345:A1367"/>
    <mergeCell ref="A1368:A1413"/>
    <mergeCell ref="A1414:A1484"/>
    <mergeCell ref="A1485:A1559"/>
    <mergeCell ref="A1560:A1565"/>
    <mergeCell ref="A1566:A1588"/>
    <mergeCell ref="A1589:A1634"/>
    <mergeCell ref="A1635:A1705"/>
    <mergeCell ref="A1706:A1780"/>
    <mergeCell ref="A1781:A1865"/>
    <mergeCell ref="A1866:A1950"/>
    <mergeCell ref="A1951:A2035"/>
    <mergeCell ref="A2036:A2120"/>
    <mergeCell ref="A2121:A2136"/>
    <mergeCell ref="A2137:A2152"/>
    <mergeCell ref="A2153:A2160"/>
    <mergeCell ref="A2161:A2168"/>
    <mergeCell ref="A2169:A2186"/>
    <mergeCell ref="A2187:A2189"/>
    <mergeCell ref="A2190:A2207"/>
    <mergeCell ref="A2208:A2210"/>
    <mergeCell ref="A2211:A2249"/>
    <mergeCell ref="A2250:A2288"/>
    <mergeCell ref="A2289:A2327"/>
    <mergeCell ref="A2328:A2366"/>
    <mergeCell ref="A2367:A2379"/>
    <mergeCell ref="A2380:A2409"/>
    <mergeCell ref="B2:B42"/>
    <mergeCell ref="B43:B47"/>
    <mergeCell ref="B48:B56"/>
    <mergeCell ref="B57:B97"/>
    <mergeCell ref="B98:B102"/>
    <mergeCell ref="B103:B111"/>
    <mergeCell ref="B112:B152"/>
    <mergeCell ref="B153:B157"/>
    <mergeCell ref="B158:B166"/>
    <mergeCell ref="B167:B170"/>
    <mergeCell ref="B171:B174"/>
    <mergeCell ref="B175:B178"/>
    <mergeCell ref="B179:B182"/>
    <mergeCell ref="B183:B185"/>
    <mergeCell ref="B186:B188"/>
    <mergeCell ref="B189:B192"/>
    <mergeCell ref="B193:B195"/>
    <mergeCell ref="B196:B198"/>
    <mergeCell ref="B199:B212"/>
    <mergeCell ref="B213:B226"/>
    <mergeCell ref="B227:B246"/>
    <mergeCell ref="B247:B266"/>
    <mergeCell ref="B267:B305"/>
    <mergeCell ref="B306:B344"/>
    <mergeCell ref="B345:B358"/>
    <mergeCell ref="B359:B372"/>
    <mergeCell ref="B373:B376"/>
    <mergeCell ref="B377:B380"/>
    <mergeCell ref="B381:B391"/>
    <mergeCell ref="B392:B402"/>
    <mergeCell ref="B403:B416"/>
    <mergeCell ref="B417:B456"/>
    <mergeCell ref="B457:B507"/>
    <mergeCell ref="B508:B521"/>
    <mergeCell ref="B522:B535"/>
    <mergeCell ref="B536:B586"/>
    <mergeCell ref="B587:B626"/>
    <mergeCell ref="B627:B640"/>
    <mergeCell ref="B641:B673"/>
    <mergeCell ref="B674:B756"/>
    <mergeCell ref="B757:B806"/>
    <mergeCell ref="B807:B889"/>
    <mergeCell ref="B890:B939"/>
    <mergeCell ref="B940:B1022"/>
    <mergeCell ref="B1023:B1072"/>
    <mergeCell ref="B1073:B1155"/>
    <mergeCell ref="B1156:B1205"/>
    <mergeCell ref="B1206:B1288"/>
    <mergeCell ref="B1289:B1338"/>
    <mergeCell ref="B1339:B1344"/>
    <mergeCell ref="B1345:B1367"/>
    <mergeCell ref="B1368:B1413"/>
    <mergeCell ref="B1414:B1484"/>
    <mergeCell ref="B1485:B1559"/>
    <mergeCell ref="B1560:B1565"/>
    <mergeCell ref="B1566:B1588"/>
    <mergeCell ref="B1589:B1634"/>
    <mergeCell ref="B1635:B1705"/>
    <mergeCell ref="B1706:B1780"/>
    <mergeCell ref="B1781:B1865"/>
    <mergeCell ref="B1866:B1950"/>
    <mergeCell ref="B1951:B2035"/>
    <mergeCell ref="B2036:B2120"/>
    <mergeCell ref="B2121:B2136"/>
    <mergeCell ref="B2137:B2152"/>
    <mergeCell ref="B2153:B2156"/>
    <mergeCell ref="B2157:B2160"/>
    <mergeCell ref="B2161:B2164"/>
    <mergeCell ref="B2165:B2168"/>
    <mergeCell ref="B2169:B2186"/>
    <mergeCell ref="B2187:B2189"/>
    <mergeCell ref="B2190:B2207"/>
    <mergeCell ref="B2208:B2210"/>
    <mergeCell ref="B2211:B2249"/>
    <mergeCell ref="B2250:B2288"/>
    <mergeCell ref="B2289:B2327"/>
    <mergeCell ref="B2328:B2366"/>
    <mergeCell ref="B2367:B2379"/>
    <mergeCell ref="B2380:B2409"/>
    <mergeCell ref="C2:C42"/>
    <mergeCell ref="C43:C47"/>
    <mergeCell ref="C48:C56"/>
    <mergeCell ref="C57:C97"/>
    <mergeCell ref="C98:C102"/>
    <mergeCell ref="C103:C111"/>
    <mergeCell ref="C112:C152"/>
    <mergeCell ref="C153:C157"/>
    <mergeCell ref="C158:C166"/>
    <mergeCell ref="C167:C170"/>
    <mergeCell ref="C171:C174"/>
    <mergeCell ref="C175:C178"/>
    <mergeCell ref="C179:C182"/>
    <mergeCell ref="C183:C185"/>
    <mergeCell ref="C186:C188"/>
    <mergeCell ref="C189:C192"/>
    <mergeCell ref="C193:C195"/>
    <mergeCell ref="C196:C198"/>
    <mergeCell ref="C199:C212"/>
    <mergeCell ref="C213:C226"/>
    <mergeCell ref="C227:C246"/>
    <mergeCell ref="C247:C266"/>
    <mergeCell ref="C267:C305"/>
    <mergeCell ref="C306:C344"/>
    <mergeCell ref="C345:C358"/>
    <mergeCell ref="C359:C372"/>
    <mergeCell ref="C373:C376"/>
    <mergeCell ref="C377:C380"/>
    <mergeCell ref="C381:C391"/>
    <mergeCell ref="C392:C402"/>
    <mergeCell ref="C403:C416"/>
    <mergeCell ref="C417:C456"/>
    <mergeCell ref="C457:C507"/>
    <mergeCell ref="C508:C521"/>
    <mergeCell ref="C522:C535"/>
    <mergeCell ref="C536:C586"/>
    <mergeCell ref="C587:C626"/>
    <mergeCell ref="C627:C640"/>
    <mergeCell ref="C641:C673"/>
    <mergeCell ref="C674:C756"/>
    <mergeCell ref="C757:C806"/>
    <mergeCell ref="C807:C889"/>
    <mergeCell ref="C890:C939"/>
    <mergeCell ref="C940:C1022"/>
    <mergeCell ref="C1023:C1072"/>
    <mergeCell ref="C1073:C1155"/>
    <mergeCell ref="C1156:C1205"/>
    <mergeCell ref="C1206:C1288"/>
    <mergeCell ref="C1289:C1338"/>
    <mergeCell ref="C1339:C1344"/>
    <mergeCell ref="C1345:C1367"/>
    <mergeCell ref="C1368:C1413"/>
    <mergeCell ref="C1414:C1484"/>
    <mergeCell ref="C1485:C1559"/>
    <mergeCell ref="C1560:C1565"/>
    <mergeCell ref="C1566:C1588"/>
    <mergeCell ref="C1589:C1634"/>
    <mergeCell ref="C1635:C1705"/>
    <mergeCell ref="C1706:C1780"/>
    <mergeCell ref="C1781:C1865"/>
    <mergeCell ref="C1866:C1950"/>
    <mergeCell ref="C1951:C2035"/>
    <mergeCell ref="C2036:C2120"/>
    <mergeCell ref="C2121:C2136"/>
    <mergeCell ref="C2137:C2152"/>
    <mergeCell ref="C2153:C2156"/>
    <mergeCell ref="C2157:C2160"/>
    <mergeCell ref="C2161:C2164"/>
    <mergeCell ref="C2165:C2168"/>
    <mergeCell ref="C2169:C2186"/>
    <mergeCell ref="C2187:C2189"/>
    <mergeCell ref="C2190:C2207"/>
    <mergeCell ref="C2208:C2210"/>
    <mergeCell ref="C2211:C2249"/>
    <mergeCell ref="C2250:C2288"/>
    <mergeCell ref="C2289:C2327"/>
    <mergeCell ref="C2328:C2366"/>
    <mergeCell ref="C2367:C2379"/>
    <mergeCell ref="C2380:C2409"/>
    <mergeCell ref="D2:D42"/>
    <mergeCell ref="D43:D47"/>
    <mergeCell ref="D48:D56"/>
    <mergeCell ref="D57:D97"/>
    <mergeCell ref="D98:D102"/>
    <mergeCell ref="D103:D111"/>
    <mergeCell ref="D112:D152"/>
    <mergeCell ref="D153:D157"/>
    <mergeCell ref="D158:D166"/>
    <mergeCell ref="D167:D170"/>
    <mergeCell ref="D171:D174"/>
    <mergeCell ref="D175:D178"/>
    <mergeCell ref="D179:D182"/>
    <mergeCell ref="D183:D185"/>
    <mergeCell ref="D186:D188"/>
    <mergeCell ref="D189:D192"/>
    <mergeCell ref="D193:D195"/>
    <mergeCell ref="D196:D198"/>
    <mergeCell ref="D199:D212"/>
    <mergeCell ref="D213:D226"/>
    <mergeCell ref="D227:D246"/>
    <mergeCell ref="D247:D266"/>
    <mergeCell ref="D267:D305"/>
    <mergeCell ref="D306:D344"/>
    <mergeCell ref="D345:D358"/>
    <mergeCell ref="D359:D372"/>
    <mergeCell ref="D373:D376"/>
    <mergeCell ref="D377:D380"/>
    <mergeCell ref="D381:D391"/>
    <mergeCell ref="D392:D402"/>
    <mergeCell ref="D403:D416"/>
    <mergeCell ref="D417:D456"/>
    <mergeCell ref="D457:D507"/>
    <mergeCell ref="D508:D521"/>
    <mergeCell ref="D522:D535"/>
    <mergeCell ref="D536:D586"/>
    <mergeCell ref="D587:D626"/>
    <mergeCell ref="D627:D640"/>
    <mergeCell ref="D641:D673"/>
    <mergeCell ref="D674:D756"/>
    <mergeCell ref="D757:D806"/>
    <mergeCell ref="D807:D889"/>
    <mergeCell ref="D890:D939"/>
    <mergeCell ref="D940:D1022"/>
    <mergeCell ref="D1023:D1072"/>
    <mergeCell ref="D1073:D1155"/>
    <mergeCell ref="D1156:D1205"/>
    <mergeCell ref="D1206:D1288"/>
    <mergeCell ref="D1289:D1338"/>
    <mergeCell ref="D1339:D1344"/>
    <mergeCell ref="D1345:D1367"/>
    <mergeCell ref="D1368:D1413"/>
    <mergeCell ref="D1414:D1484"/>
    <mergeCell ref="D1485:D1559"/>
    <mergeCell ref="D1560:D1565"/>
    <mergeCell ref="D1566:D1588"/>
    <mergeCell ref="D1589:D1634"/>
    <mergeCell ref="D1635:D1705"/>
    <mergeCell ref="D1706:D1780"/>
    <mergeCell ref="D1781:D1865"/>
    <mergeCell ref="D1866:D1950"/>
    <mergeCell ref="D1951:D2035"/>
    <mergeCell ref="D2036:D2120"/>
    <mergeCell ref="D2121:D2136"/>
    <mergeCell ref="D2137:D2152"/>
    <mergeCell ref="D2153:D2156"/>
    <mergeCell ref="D2157:D2160"/>
    <mergeCell ref="D2161:D2164"/>
    <mergeCell ref="D2165:D2168"/>
    <mergeCell ref="D2169:D2186"/>
    <mergeCell ref="D2187:D2189"/>
    <mergeCell ref="D2190:D2207"/>
    <mergeCell ref="D2208:D2210"/>
    <mergeCell ref="D2211:D2249"/>
    <mergeCell ref="D2250:D2288"/>
    <mergeCell ref="D2289:D2327"/>
    <mergeCell ref="D2328:D2366"/>
    <mergeCell ref="D2367:D2379"/>
    <mergeCell ref="D2380:D2409"/>
    <mergeCell ref="E2:E42"/>
    <mergeCell ref="E43:E47"/>
    <mergeCell ref="E48:E56"/>
    <mergeCell ref="E57:E97"/>
    <mergeCell ref="E98:E102"/>
    <mergeCell ref="E103:E111"/>
    <mergeCell ref="E112:E152"/>
    <mergeCell ref="E153:E157"/>
    <mergeCell ref="E158:E166"/>
    <mergeCell ref="E167:E170"/>
    <mergeCell ref="E171:E174"/>
    <mergeCell ref="E175:E178"/>
    <mergeCell ref="E179:E182"/>
    <mergeCell ref="E183:E185"/>
    <mergeCell ref="E186:E188"/>
    <mergeCell ref="E189:E192"/>
    <mergeCell ref="E193:E195"/>
    <mergeCell ref="E196:E198"/>
    <mergeCell ref="E199:E212"/>
    <mergeCell ref="E213:E226"/>
    <mergeCell ref="E227:E246"/>
    <mergeCell ref="E247:E266"/>
    <mergeCell ref="E267:E305"/>
    <mergeCell ref="E306:E344"/>
    <mergeCell ref="E345:E358"/>
    <mergeCell ref="E359:E372"/>
    <mergeCell ref="E373:E376"/>
    <mergeCell ref="E377:E380"/>
    <mergeCell ref="E381:E391"/>
    <mergeCell ref="E392:E402"/>
    <mergeCell ref="E403:E416"/>
    <mergeCell ref="E417:E456"/>
    <mergeCell ref="E457:E507"/>
    <mergeCell ref="E508:E521"/>
    <mergeCell ref="E522:E535"/>
    <mergeCell ref="E536:E586"/>
    <mergeCell ref="E587:E626"/>
    <mergeCell ref="E627:E640"/>
    <mergeCell ref="E641:E673"/>
    <mergeCell ref="E674:E756"/>
    <mergeCell ref="E757:E806"/>
    <mergeCell ref="E807:E889"/>
    <mergeCell ref="E890:E939"/>
    <mergeCell ref="E940:E1022"/>
    <mergeCell ref="E1023:E1072"/>
    <mergeCell ref="E1073:E1155"/>
    <mergeCell ref="E1156:E1205"/>
    <mergeCell ref="E1206:E1288"/>
    <mergeCell ref="E1289:E1338"/>
    <mergeCell ref="E1339:E1344"/>
    <mergeCell ref="E1345:E1367"/>
    <mergeCell ref="E1368:E1413"/>
    <mergeCell ref="E1414:E1484"/>
    <mergeCell ref="E1485:E1559"/>
    <mergeCell ref="E1560:E1565"/>
    <mergeCell ref="E1566:E1588"/>
    <mergeCell ref="E1589:E1634"/>
    <mergeCell ref="E1635:E1705"/>
    <mergeCell ref="E1706:E1780"/>
    <mergeCell ref="E1781:E1865"/>
    <mergeCell ref="E1866:E1950"/>
    <mergeCell ref="E1951:E2035"/>
    <mergeCell ref="E2036:E2120"/>
    <mergeCell ref="E2121:E2136"/>
    <mergeCell ref="E2137:E2152"/>
    <mergeCell ref="E2153:E2156"/>
    <mergeCell ref="E2157:E2160"/>
    <mergeCell ref="E2161:E2164"/>
    <mergeCell ref="E2165:E2168"/>
    <mergeCell ref="E2169:E2186"/>
    <mergeCell ref="E2187:E2189"/>
    <mergeCell ref="E2190:E2207"/>
    <mergeCell ref="E2208:E2210"/>
    <mergeCell ref="E2211:E2249"/>
    <mergeCell ref="E2250:E2288"/>
    <mergeCell ref="E2289:E2327"/>
    <mergeCell ref="E2328:E2366"/>
    <mergeCell ref="E2367:E2379"/>
    <mergeCell ref="E2380:E2409"/>
    <mergeCell ref="F2:F42"/>
    <mergeCell ref="F43:F47"/>
    <mergeCell ref="F48:F56"/>
    <mergeCell ref="F57:F97"/>
    <mergeCell ref="F98:F102"/>
    <mergeCell ref="F103:F111"/>
    <mergeCell ref="F112:F152"/>
    <mergeCell ref="F153:F157"/>
    <mergeCell ref="F158:F166"/>
    <mergeCell ref="F167:F170"/>
    <mergeCell ref="F171:F174"/>
    <mergeCell ref="F175:F178"/>
    <mergeCell ref="F179:F182"/>
    <mergeCell ref="F183:F185"/>
    <mergeCell ref="F186:F188"/>
    <mergeCell ref="F189:F192"/>
    <mergeCell ref="F193:F195"/>
    <mergeCell ref="F196:F198"/>
    <mergeCell ref="F199:F212"/>
    <mergeCell ref="F213:F226"/>
    <mergeCell ref="F227:F246"/>
    <mergeCell ref="F247:F266"/>
    <mergeCell ref="F267:F305"/>
    <mergeCell ref="F306:F344"/>
    <mergeCell ref="F345:F358"/>
    <mergeCell ref="F359:F372"/>
    <mergeCell ref="F373:F376"/>
    <mergeCell ref="F377:F380"/>
    <mergeCell ref="F381:F391"/>
    <mergeCell ref="F392:F402"/>
    <mergeCell ref="F403:F416"/>
    <mergeCell ref="F417:F456"/>
    <mergeCell ref="F457:F507"/>
    <mergeCell ref="F508:F521"/>
    <mergeCell ref="F522:F535"/>
    <mergeCell ref="F536:F586"/>
    <mergeCell ref="F587:F626"/>
    <mergeCell ref="F627:F640"/>
    <mergeCell ref="F641:F673"/>
    <mergeCell ref="F674:F756"/>
    <mergeCell ref="F757:F806"/>
    <mergeCell ref="F807:F889"/>
    <mergeCell ref="F890:F939"/>
    <mergeCell ref="F940:F1022"/>
    <mergeCell ref="F1023:F1072"/>
    <mergeCell ref="F1073:F1155"/>
    <mergeCell ref="F1156:F1205"/>
    <mergeCell ref="F1206:F1288"/>
    <mergeCell ref="F1289:F1338"/>
    <mergeCell ref="F1339:F1344"/>
    <mergeCell ref="F1345:F1367"/>
    <mergeCell ref="F1368:F1413"/>
    <mergeCell ref="F1414:F1484"/>
    <mergeCell ref="F1485:F1559"/>
    <mergeCell ref="F1560:F1565"/>
    <mergeCell ref="F1566:F1588"/>
    <mergeCell ref="F1589:F1634"/>
    <mergeCell ref="F1635:F1705"/>
    <mergeCell ref="F1706:F1780"/>
    <mergeCell ref="F1781:F1865"/>
    <mergeCell ref="F1866:F1950"/>
    <mergeCell ref="F1951:F2035"/>
    <mergeCell ref="F2036:F2120"/>
    <mergeCell ref="F2121:F2136"/>
    <mergeCell ref="F2137:F2152"/>
    <mergeCell ref="F2153:F2156"/>
    <mergeCell ref="F2157:F2160"/>
    <mergeCell ref="F2161:F2164"/>
    <mergeCell ref="F2165:F2168"/>
    <mergeCell ref="F2169:F2186"/>
    <mergeCell ref="F2187:F2189"/>
    <mergeCell ref="F2190:F2207"/>
    <mergeCell ref="F2208:F2210"/>
    <mergeCell ref="F2211:F2249"/>
    <mergeCell ref="F2250:F2288"/>
    <mergeCell ref="F2289:F2327"/>
    <mergeCell ref="F2328:F2366"/>
    <mergeCell ref="F2367:F2379"/>
    <mergeCell ref="F2380:F2409"/>
    <mergeCell ref="J2:J42"/>
    <mergeCell ref="J43:J47"/>
    <mergeCell ref="J48:J56"/>
    <mergeCell ref="J57:J97"/>
    <mergeCell ref="J98:J102"/>
    <mergeCell ref="J103:J111"/>
    <mergeCell ref="J112:J152"/>
    <mergeCell ref="J153:J157"/>
    <mergeCell ref="J158:J166"/>
    <mergeCell ref="J167:J170"/>
    <mergeCell ref="J171:J174"/>
    <mergeCell ref="J175:J178"/>
    <mergeCell ref="J179:J182"/>
    <mergeCell ref="J183:J185"/>
    <mergeCell ref="J186:J188"/>
    <mergeCell ref="J189:J192"/>
    <mergeCell ref="J193:J195"/>
    <mergeCell ref="J196:J198"/>
    <mergeCell ref="J199:J212"/>
    <mergeCell ref="J213:J226"/>
    <mergeCell ref="J227:J246"/>
    <mergeCell ref="J247:J266"/>
    <mergeCell ref="J267:J305"/>
    <mergeCell ref="J306:J344"/>
    <mergeCell ref="J345:J358"/>
    <mergeCell ref="J359:J372"/>
    <mergeCell ref="J373:J376"/>
    <mergeCell ref="J377:J380"/>
    <mergeCell ref="J381:J391"/>
    <mergeCell ref="J392:J402"/>
    <mergeCell ref="J403:J416"/>
    <mergeCell ref="J417:J456"/>
    <mergeCell ref="J457:J507"/>
    <mergeCell ref="J508:J521"/>
    <mergeCell ref="J522:J535"/>
    <mergeCell ref="J536:J586"/>
    <mergeCell ref="J587:J626"/>
    <mergeCell ref="J627:J640"/>
    <mergeCell ref="J641:J673"/>
    <mergeCell ref="J674:J756"/>
    <mergeCell ref="J757:J806"/>
    <mergeCell ref="J807:J889"/>
    <mergeCell ref="J890:J939"/>
    <mergeCell ref="J940:J1022"/>
    <mergeCell ref="J1023:J1072"/>
    <mergeCell ref="J1073:J1155"/>
    <mergeCell ref="J1156:J1205"/>
    <mergeCell ref="J1206:J1288"/>
    <mergeCell ref="J1289:J1338"/>
    <mergeCell ref="J1339:J1344"/>
    <mergeCell ref="J1345:J1367"/>
    <mergeCell ref="J1368:J1413"/>
    <mergeCell ref="J1414:J1484"/>
    <mergeCell ref="J1485:J1559"/>
    <mergeCell ref="J1560:J1565"/>
    <mergeCell ref="J1566:J1588"/>
    <mergeCell ref="J1589:J1634"/>
    <mergeCell ref="J1635:J1705"/>
    <mergeCell ref="J1706:J1780"/>
    <mergeCell ref="J1781:J1865"/>
    <mergeCell ref="J1866:J1950"/>
    <mergeCell ref="J1951:J2035"/>
    <mergeCell ref="J2036:J2120"/>
    <mergeCell ref="J2121:J2136"/>
    <mergeCell ref="J2137:J2152"/>
    <mergeCell ref="J2153:J2156"/>
    <mergeCell ref="J2157:J2160"/>
    <mergeCell ref="J2161:J2164"/>
    <mergeCell ref="J2165:J2168"/>
    <mergeCell ref="J2169:J2186"/>
    <mergeCell ref="J2187:J2189"/>
    <mergeCell ref="J2190:J2207"/>
    <mergeCell ref="J2208:J2210"/>
    <mergeCell ref="J2211:J2249"/>
    <mergeCell ref="J2250:J2288"/>
    <mergeCell ref="J2289:J2327"/>
    <mergeCell ref="J2328:J2366"/>
    <mergeCell ref="J2367:J2379"/>
    <mergeCell ref="J2380:J2409"/>
    <mergeCell ref="K2:K42"/>
    <mergeCell ref="K43:K47"/>
    <mergeCell ref="K48:K56"/>
    <mergeCell ref="K57:K97"/>
    <mergeCell ref="K98:K102"/>
    <mergeCell ref="K103:K111"/>
    <mergeCell ref="K112:K152"/>
    <mergeCell ref="K153:K157"/>
    <mergeCell ref="K158:K166"/>
    <mergeCell ref="K167:K170"/>
    <mergeCell ref="K171:K174"/>
    <mergeCell ref="K175:K178"/>
    <mergeCell ref="K179:K182"/>
    <mergeCell ref="K183:K185"/>
    <mergeCell ref="K186:K188"/>
    <mergeCell ref="K189:K192"/>
    <mergeCell ref="K193:K195"/>
    <mergeCell ref="K196:K198"/>
    <mergeCell ref="K199:K212"/>
    <mergeCell ref="K213:K226"/>
    <mergeCell ref="K227:K246"/>
    <mergeCell ref="K247:K266"/>
    <mergeCell ref="K267:K305"/>
    <mergeCell ref="K306:K344"/>
    <mergeCell ref="K345:K358"/>
    <mergeCell ref="K359:K372"/>
    <mergeCell ref="K373:K376"/>
    <mergeCell ref="K377:K380"/>
    <mergeCell ref="K381:K391"/>
    <mergeCell ref="K392:K402"/>
    <mergeCell ref="K403:K416"/>
    <mergeCell ref="K417:K456"/>
    <mergeCell ref="K457:K507"/>
    <mergeCell ref="K508:K521"/>
    <mergeCell ref="K522:K535"/>
    <mergeCell ref="K536:K586"/>
    <mergeCell ref="K587:K626"/>
    <mergeCell ref="K627:K640"/>
    <mergeCell ref="K641:K673"/>
    <mergeCell ref="K674:K756"/>
    <mergeCell ref="K757:K806"/>
    <mergeCell ref="K807:K889"/>
    <mergeCell ref="K890:K939"/>
    <mergeCell ref="K940:K1022"/>
    <mergeCell ref="K1023:K1072"/>
    <mergeCell ref="K1073:K1155"/>
    <mergeCell ref="K1156:K1205"/>
    <mergeCell ref="K1206:K1288"/>
    <mergeCell ref="K1289:K1338"/>
    <mergeCell ref="K1339:K1344"/>
    <mergeCell ref="K1345:K1367"/>
    <mergeCell ref="K1368:K1413"/>
    <mergeCell ref="K1414:K1484"/>
    <mergeCell ref="K1485:K1559"/>
    <mergeCell ref="K1560:K1565"/>
    <mergeCell ref="K1566:K1588"/>
    <mergeCell ref="K1589:K1634"/>
    <mergeCell ref="K1635:K1705"/>
    <mergeCell ref="K1706:K1780"/>
    <mergeCell ref="K1781:K1865"/>
    <mergeCell ref="K1866:K1950"/>
    <mergeCell ref="K1951:K2035"/>
    <mergeCell ref="K2036:K2120"/>
    <mergeCell ref="K2121:K2136"/>
    <mergeCell ref="K2137:K2152"/>
    <mergeCell ref="K2153:K2156"/>
    <mergeCell ref="K2157:K2160"/>
    <mergeCell ref="K2161:K2164"/>
    <mergeCell ref="K2165:K2168"/>
    <mergeCell ref="K2169:K2186"/>
    <mergeCell ref="K2187:K2189"/>
    <mergeCell ref="K2190:K2207"/>
    <mergeCell ref="K2208:K2210"/>
    <mergeCell ref="K2211:K2249"/>
    <mergeCell ref="K2250:K2288"/>
    <mergeCell ref="K2289:K2327"/>
    <mergeCell ref="K2328:K2366"/>
    <mergeCell ref="K2367:K2379"/>
    <mergeCell ref="K2380:K2409"/>
    <mergeCell ref="L2169:L2186"/>
    <mergeCell ref="L2187:L2189"/>
    <mergeCell ref="L2190:L2207"/>
    <mergeCell ref="L2208:L2210"/>
    <mergeCell ref="L2211:L2249"/>
    <mergeCell ref="L2250:L2288"/>
    <mergeCell ref="L2289:L2327"/>
    <mergeCell ref="L2328:L2366"/>
    <mergeCell ref="M2:M42"/>
    <mergeCell ref="M43:M47"/>
    <mergeCell ref="M48:M56"/>
    <mergeCell ref="M57:M97"/>
    <mergeCell ref="M98:M102"/>
    <mergeCell ref="M103:M108"/>
    <mergeCell ref="M112:M152"/>
    <mergeCell ref="M153:M157"/>
    <mergeCell ref="M158:M163"/>
    <mergeCell ref="M167:M170"/>
    <mergeCell ref="M171:M174"/>
    <mergeCell ref="M175:M178"/>
    <mergeCell ref="M179:M182"/>
    <mergeCell ref="M183:M185"/>
    <mergeCell ref="M186:M188"/>
    <mergeCell ref="M189:M192"/>
    <mergeCell ref="M193:M195"/>
    <mergeCell ref="M196:M198"/>
    <mergeCell ref="M199:M212"/>
    <mergeCell ref="M213:M226"/>
    <mergeCell ref="M227:M246"/>
    <mergeCell ref="M247:M266"/>
    <mergeCell ref="M267:M305"/>
    <mergeCell ref="M306:M344"/>
    <mergeCell ref="M345:M358"/>
    <mergeCell ref="M359:M372"/>
    <mergeCell ref="M373:M376"/>
    <mergeCell ref="M377:M380"/>
    <mergeCell ref="M381:M391"/>
    <mergeCell ref="M392:M402"/>
    <mergeCell ref="M403:M416"/>
    <mergeCell ref="M417:M456"/>
    <mergeCell ref="M457:M507"/>
    <mergeCell ref="M508:M521"/>
    <mergeCell ref="M522:M535"/>
    <mergeCell ref="M536:M586"/>
    <mergeCell ref="M587:M626"/>
    <mergeCell ref="M627:M640"/>
    <mergeCell ref="M641:M673"/>
    <mergeCell ref="M674:M756"/>
    <mergeCell ref="M757:M806"/>
    <mergeCell ref="M807:M889"/>
    <mergeCell ref="M890:M939"/>
    <mergeCell ref="M940:M1022"/>
    <mergeCell ref="M1023:M1072"/>
    <mergeCell ref="M1073:M1155"/>
    <mergeCell ref="M1156:M1205"/>
    <mergeCell ref="M1206:M1288"/>
    <mergeCell ref="M1289:M1338"/>
    <mergeCell ref="M1339:M1344"/>
    <mergeCell ref="M1345:M1367"/>
    <mergeCell ref="M1368:M1413"/>
    <mergeCell ref="M1414:M1484"/>
    <mergeCell ref="M1485:M1559"/>
    <mergeCell ref="M1560:M1565"/>
    <mergeCell ref="M1566:M1588"/>
    <mergeCell ref="M1589:M1634"/>
    <mergeCell ref="M1635:M1705"/>
    <mergeCell ref="M1706:M1780"/>
    <mergeCell ref="M1781:M1865"/>
    <mergeCell ref="M1866:M1950"/>
    <mergeCell ref="M1951:M2035"/>
    <mergeCell ref="M2036:M2120"/>
    <mergeCell ref="M2121:M2136"/>
    <mergeCell ref="M2137:M2152"/>
    <mergeCell ref="M2153:M2156"/>
    <mergeCell ref="M2157:M2160"/>
    <mergeCell ref="M2161:M2164"/>
    <mergeCell ref="M2165:M2168"/>
    <mergeCell ref="M2169:M2186"/>
    <mergeCell ref="M2187:M2189"/>
    <mergeCell ref="M2190:M2207"/>
    <mergeCell ref="M2208:M2210"/>
    <mergeCell ref="M2211:M2249"/>
    <mergeCell ref="M2250:M2288"/>
    <mergeCell ref="M2289:M2327"/>
    <mergeCell ref="M2328:M2366"/>
    <mergeCell ref="M2367:M2379"/>
    <mergeCell ref="M2380:M2409"/>
  </mergeCells>
  <conditionalFormatting sqref="C1:D1">
    <cfRule type="duplicateValues" dxfId="0" priority="19"/>
  </conditionalFormatting>
  <conditionalFormatting sqref="E402">
    <cfRule type="duplicateValues" dxfId="0" priority="15"/>
    <cfRule type="duplicateValues" dxfId="0" priority="16"/>
  </conditionalFormatting>
  <conditionalFormatting sqref="E227:E246">
    <cfRule type="duplicateValues" dxfId="0" priority="13"/>
    <cfRule type="duplicateValues" dxfId="0" priority="14"/>
  </conditionalFormatting>
  <conditionalFormatting sqref="E247:E266">
    <cfRule type="duplicateValues" dxfId="0" priority="11"/>
    <cfRule type="duplicateValues" dxfId="0" priority="12"/>
  </conditionalFormatting>
  <conditionalFormatting sqref="E267:E305">
    <cfRule type="duplicateValues" dxfId="0" priority="9"/>
    <cfRule type="duplicateValues" dxfId="0" priority="10"/>
  </conditionalFormatting>
  <conditionalFormatting sqref="E306:E344">
    <cfRule type="duplicateValues" dxfId="0" priority="7"/>
    <cfRule type="duplicateValues" dxfId="0" priority="8"/>
  </conditionalFormatting>
  <conditionalFormatting sqref="E345:E372">
    <cfRule type="duplicateValues" dxfId="0" priority="6"/>
    <cfRule type="duplicateValues" dxfId="0" priority="5"/>
  </conditionalFormatting>
  <conditionalFormatting sqref="E2161:E2168">
    <cfRule type="duplicateValues" dxfId="0" priority="2"/>
    <cfRule type="duplicateValues" dxfId="0" priority="1"/>
  </conditionalFormatting>
  <conditionalFormatting sqref="E1:E226 E373:E381 E392:E401 E403:E2160 E2169:E2210 E2367:E1048576">
    <cfRule type="duplicateValues" dxfId="0" priority="17"/>
    <cfRule type="duplicateValues" dxfId="0" priority="18"/>
  </conditionalFormatting>
  <dataValidations count="1">
    <dataValidation type="list" allowBlank="1" showInputMessage="1" showErrorMessage="1" sqref="J2 J57 J112 J373 J381 J2153 J2161 J2169 J2187 J2190 J2208 J2380 J176:J196 J390:J392 J2211:J2367 K176:K198 J109:K111 J164:K167">
      <formula1>"DIU1,DIU2,DIU3,DIU4,DIU5,DIU6"</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69"/>
  <sheetViews>
    <sheetView tabSelected="1" zoomScale="55" zoomScaleNormal="55" workbookViewId="0">
      <pane ySplit="1" topLeftCell="A428" activePane="bottomLeft" state="frozen"/>
      <selection/>
      <selection pane="bottomLeft" activeCell="I456" sqref="I456:I465"/>
    </sheetView>
  </sheetViews>
  <sheetFormatPr defaultColWidth="8.88888888888889" defaultRowHeight="14.4"/>
  <cols>
    <col min="1" max="1" width="19.3333333333333" style="94" customWidth="1"/>
    <col min="2" max="2" width="16.6666666666667" style="94" customWidth="1"/>
    <col min="3" max="4" width="17.6666666666667" style="94" customWidth="1"/>
    <col min="5" max="7" width="26.1111111111111" style="94" customWidth="1"/>
    <col min="8" max="8" width="22.1111111111111" style="94" customWidth="1"/>
    <col min="9" max="9" width="15.8888888888889" style="94" customWidth="1"/>
    <col min="10" max="10" width="8.88888888888889" style="94"/>
    <col min="11" max="11" width="19.8888888888889" style="94" customWidth="1"/>
    <col min="12" max="12" width="40.7777777777778" style="94" customWidth="1"/>
    <col min="13" max="15" width="8.88888888888889" style="94"/>
    <col min="16" max="16" width="16.6666666666667" style="96" customWidth="1"/>
    <col min="17" max="17" width="26.1111111111111" style="94" customWidth="1"/>
    <col min="18" max="18" width="19.8888888888889" style="94" customWidth="1"/>
    <col min="19" max="19" width="13.3333333333333" style="92" hidden="1" customWidth="1"/>
    <col min="20" max="22" width="8.88888888888889" style="92" customWidth="1"/>
    <col min="23" max="16384" width="8.88888888888889" style="92" hidden="1" customWidth="1"/>
  </cols>
  <sheetData>
    <row r="1" s="91" customFormat="1" ht="28.8" spans="1:21">
      <c r="A1" s="34" t="s">
        <v>0</v>
      </c>
      <c r="B1" s="34" t="s">
        <v>1328</v>
      </c>
      <c r="C1" s="34" t="s">
        <v>1329</v>
      </c>
      <c r="D1" s="97" t="s">
        <v>1330</v>
      </c>
      <c r="E1" s="97" t="s">
        <v>1331</v>
      </c>
      <c r="F1" s="34" t="s">
        <v>1332</v>
      </c>
      <c r="G1" s="34" t="s">
        <v>1333</v>
      </c>
      <c r="H1" s="34" t="s">
        <v>1334</v>
      </c>
      <c r="I1" s="34" t="s">
        <v>1335</v>
      </c>
      <c r="J1" s="35" t="s">
        <v>4</v>
      </c>
      <c r="K1" s="34" t="s">
        <v>5</v>
      </c>
      <c r="L1" s="34" t="s">
        <v>6</v>
      </c>
      <c r="M1" s="34" t="s">
        <v>7</v>
      </c>
      <c r="N1" s="36" t="s">
        <v>8</v>
      </c>
      <c r="O1" s="98" t="s">
        <v>10</v>
      </c>
      <c r="P1" s="99" t="s">
        <v>11</v>
      </c>
      <c r="Q1" s="100" t="s">
        <v>1336</v>
      </c>
      <c r="R1" s="34" t="s">
        <v>1337</v>
      </c>
      <c r="S1" s="34" t="s">
        <v>1338</v>
      </c>
    </row>
    <row r="2" s="92" customFormat="1" ht="23" customHeight="1" spans="1:21">
      <c r="A2" s="101" t="s">
        <v>1339</v>
      </c>
      <c r="B2" s="101" t="s">
        <v>1340</v>
      </c>
      <c r="C2" s="101" t="s">
        <v>1341</v>
      </c>
      <c r="D2" s="102" t="s">
        <v>1342</v>
      </c>
      <c r="E2" s="102" t="s">
        <v>1343</v>
      </c>
      <c r="F2" s="103" t="s">
        <v>1344</v>
      </c>
      <c r="G2" s="101" t="s">
        <v>1345</v>
      </c>
      <c r="H2" s="101" t="s">
        <v>1346</v>
      </c>
      <c r="I2" s="104" t="s">
        <v>1347</v>
      </c>
      <c r="J2" s="101">
        <v>8001</v>
      </c>
      <c r="K2" s="101" t="s">
        <v>1348</v>
      </c>
      <c r="L2" s="105" t="s">
        <v>87</v>
      </c>
      <c r="M2" s="106">
        <v>0</v>
      </c>
      <c r="N2" s="106">
        <v>4</v>
      </c>
      <c r="O2" s="107">
        <v>100</v>
      </c>
      <c r="P2" s="96"/>
      <c r="Q2" s="108"/>
      <c r="R2" s="101" t="s">
        <v>1349</v>
      </c>
      <c r="S2" s="94"/>
    </row>
    <row r="3" s="92" customFormat="1" spans="1:21">
      <c r="A3" s="101"/>
      <c r="B3" s="101"/>
      <c r="C3" s="101"/>
      <c r="D3" s="109"/>
      <c r="E3" s="109"/>
      <c r="F3" s="110"/>
      <c r="G3" s="101"/>
      <c r="H3" s="101"/>
      <c r="I3" s="107"/>
      <c r="J3" s="101"/>
      <c r="K3" s="101"/>
      <c r="L3" s="105" t="s">
        <v>88</v>
      </c>
      <c r="M3" s="106">
        <v>4</v>
      </c>
      <c r="N3" s="106">
        <v>4</v>
      </c>
      <c r="O3" s="107"/>
      <c r="P3" s="96"/>
      <c r="Q3" s="108"/>
      <c r="R3" s="101"/>
      <c r="S3" s="94"/>
    </row>
    <row r="4" s="92" customFormat="1" ht="28.8" spans="1:21">
      <c r="A4" s="101"/>
      <c r="B4" s="101"/>
      <c r="C4" s="101"/>
      <c r="D4" s="111"/>
      <c r="E4" s="111"/>
      <c r="F4" s="112"/>
      <c r="G4" s="101"/>
      <c r="H4" s="101"/>
      <c r="I4" s="107"/>
      <c r="J4" s="101"/>
      <c r="K4" s="101"/>
      <c r="L4" s="113" t="s">
        <v>1350</v>
      </c>
      <c r="M4" s="106">
        <v>8</v>
      </c>
      <c r="N4" s="106">
        <v>16</v>
      </c>
      <c r="O4" s="107"/>
      <c r="P4" s="114"/>
      <c r="Q4" s="108" t="s">
        <v>1351</v>
      </c>
      <c r="R4" s="101"/>
      <c r="S4" s="94"/>
    </row>
    <row r="5" s="92" customFormat="1" spans="1:21">
      <c r="A5" s="101" t="s">
        <v>1352</v>
      </c>
      <c r="B5" s="101" t="s">
        <v>1353</v>
      </c>
      <c r="C5" s="101" t="s">
        <v>1354</v>
      </c>
      <c r="D5" s="102" t="s">
        <v>1342</v>
      </c>
      <c r="E5" s="102" t="s">
        <v>1343</v>
      </c>
      <c r="F5" s="103" t="s">
        <v>1344</v>
      </c>
      <c r="G5" s="101" t="s">
        <v>1345</v>
      </c>
      <c r="H5" s="101" t="s">
        <v>1355</v>
      </c>
      <c r="I5" s="104" t="s">
        <v>1347</v>
      </c>
      <c r="J5" s="101">
        <v>8009</v>
      </c>
      <c r="K5" s="101" t="s">
        <v>1348</v>
      </c>
      <c r="L5" s="105" t="s">
        <v>87</v>
      </c>
      <c r="M5" s="106">
        <v>0</v>
      </c>
      <c r="N5" s="106">
        <v>4</v>
      </c>
      <c r="O5" s="107">
        <v>100</v>
      </c>
      <c r="P5" s="96"/>
      <c r="Q5" s="108"/>
      <c r="R5" s="101" t="s">
        <v>1349</v>
      </c>
      <c r="S5" s="94"/>
    </row>
    <row r="6" s="92" customFormat="1" spans="1:21">
      <c r="A6" s="101"/>
      <c r="B6" s="101"/>
      <c r="C6" s="101"/>
      <c r="D6" s="109"/>
      <c r="E6" s="109"/>
      <c r="F6" s="110"/>
      <c r="G6" s="101"/>
      <c r="H6" s="101"/>
      <c r="I6" s="107"/>
      <c r="J6" s="101"/>
      <c r="K6" s="101"/>
      <c r="L6" s="105" t="s">
        <v>88</v>
      </c>
      <c r="M6" s="106">
        <v>4</v>
      </c>
      <c r="N6" s="106">
        <v>4</v>
      </c>
      <c r="O6" s="107"/>
      <c r="P6" s="96"/>
      <c r="Q6" s="108"/>
      <c r="R6" s="101"/>
      <c r="S6" s="94"/>
    </row>
    <row r="7" s="92" customFormat="1" ht="23" customHeight="1" spans="1:21">
      <c r="A7" s="101"/>
      <c r="B7" s="101"/>
      <c r="C7" s="101"/>
      <c r="D7" s="111"/>
      <c r="E7" s="111"/>
      <c r="F7" s="112"/>
      <c r="G7" s="101"/>
      <c r="H7" s="101"/>
      <c r="I7" s="107"/>
      <c r="J7" s="101"/>
      <c r="K7" s="101"/>
      <c r="L7" s="113" t="s">
        <v>1356</v>
      </c>
      <c r="M7" s="106">
        <v>8</v>
      </c>
      <c r="N7" s="106">
        <v>16</v>
      </c>
      <c r="O7" s="107"/>
      <c r="P7" s="114"/>
      <c r="Q7" s="108" t="s">
        <v>1351</v>
      </c>
      <c r="R7" s="101"/>
      <c r="S7" s="94"/>
    </row>
    <row r="8" s="92" customFormat="1" spans="1:21">
      <c r="A8" s="101" t="s">
        <v>1357</v>
      </c>
      <c r="B8" s="101" t="s">
        <v>1358</v>
      </c>
      <c r="C8" s="101" t="s">
        <v>1341</v>
      </c>
      <c r="D8" s="102" t="s">
        <v>1359</v>
      </c>
      <c r="E8" s="102" t="s">
        <v>1360</v>
      </c>
      <c r="F8" s="103" t="s">
        <v>1344</v>
      </c>
      <c r="G8" s="101" t="s">
        <v>1345</v>
      </c>
      <c r="H8" s="101" t="s">
        <v>1346</v>
      </c>
      <c r="I8" s="104" t="s">
        <v>1361</v>
      </c>
      <c r="J8" s="101">
        <v>8002</v>
      </c>
      <c r="K8" s="101" t="s">
        <v>1362</v>
      </c>
      <c r="L8" s="105" t="s">
        <v>87</v>
      </c>
      <c r="M8" s="106">
        <v>0</v>
      </c>
      <c r="N8" s="106">
        <v>4</v>
      </c>
      <c r="O8" s="107">
        <v>100</v>
      </c>
      <c r="P8" s="96"/>
      <c r="Q8" s="108"/>
      <c r="R8" s="101" t="s">
        <v>1363</v>
      </c>
      <c r="S8" s="94"/>
    </row>
    <row r="9" s="92" customFormat="1" spans="1:21">
      <c r="A9" s="101"/>
      <c r="B9" s="101"/>
      <c r="C9" s="101"/>
      <c r="D9" s="109"/>
      <c r="E9" s="109"/>
      <c r="F9" s="110"/>
      <c r="G9" s="101"/>
      <c r="H9" s="101"/>
      <c r="I9" s="107"/>
      <c r="J9" s="101"/>
      <c r="K9" s="101"/>
      <c r="L9" s="105" t="s">
        <v>88</v>
      </c>
      <c r="M9" s="106">
        <v>4</v>
      </c>
      <c r="N9" s="106">
        <v>4</v>
      </c>
      <c r="O9" s="107"/>
      <c r="P9" s="96"/>
      <c r="Q9" s="108"/>
      <c r="R9" s="101"/>
      <c r="S9" s="94"/>
    </row>
    <row r="10" s="92" customFormat="1" ht="28.8" spans="1:21">
      <c r="A10" s="101"/>
      <c r="B10" s="101"/>
      <c r="C10" s="101"/>
      <c r="D10" s="111"/>
      <c r="E10" s="111"/>
      <c r="F10" s="112"/>
      <c r="G10" s="101"/>
      <c r="H10" s="101"/>
      <c r="I10" s="107"/>
      <c r="J10" s="101"/>
      <c r="K10" s="101"/>
      <c r="L10" s="113" t="s">
        <v>1364</v>
      </c>
      <c r="M10" s="106">
        <v>8</v>
      </c>
      <c r="N10" s="106">
        <v>16</v>
      </c>
      <c r="O10" s="107"/>
      <c r="P10" s="114"/>
      <c r="Q10" s="108" t="s">
        <v>1365</v>
      </c>
      <c r="R10" s="101"/>
      <c r="S10" s="94"/>
    </row>
    <row r="11" s="92" customFormat="1" spans="1:21">
      <c r="A11" s="101" t="s">
        <v>1366</v>
      </c>
      <c r="B11" s="101" t="s">
        <v>1358</v>
      </c>
      <c r="C11" s="101" t="s">
        <v>1354</v>
      </c>
      <c r="D11" s="102" t="s">
        <v>1359</v>
      </c>
      <c r="E11" s="102" t="s">
        <v>1360</v>
      </c>
      <c r="F11" s="103" t="s">
        <v>1344</v>
      </c>
      <c r="G11" s="101" t="s">
        <v>1345</v>
      </c>
      <c r="H11" s="101" t="s">
        <v>1355</v>
      </c>
      <c r="I11" s="104" t="s">
        <v>1361</v>
      </c>
      <c r="J11" s="101">
        <v>8010</v>
      </c>
      <c r="K11" s="101" t="s">
        <v>1362</v>
      </c>
      <c r="L11" s="105" t="s">
        <v>87</v>
      </c>
      <c r="M11" s="106">
        <v>0</v>
      </c>
      <c r="N11" s="106">
        <v>4</v>
      </c>
      <c r="O11" s="107">
        <v>100</v>
      </c>
      <c r="P11" s="96"/>
      <c r="Q11" s="108"/>
      <c r="R11" s="101" t="s">
        <v>1363</v>
      </c>
      <c r="S11" s="94"/>
    </row>
    <row r="12" s="92" customFormat="1" spans="1:21">
      <c r="A12" s="101"/>
      <c r="B12" s="101"/>
      <c r="C12" s="101"/>
      <c r="D12" s="109"/>
      <c r="E12" s="109"/>
      <c r="F12" s="110"/>
      <c r="G12" s="101"/>
      <c r="H12" s="101"/>
      <c r="I12" s="107"/>
      <c r="J12" s="101"/>
      <c r="K12" s="101"/>
      <c r="L12" s="105" t="s">
        <v>88</v>
      </c>
      <c r="M12" s="106">
        <v>4</v>
      </c>
      <c r="N12" s="106">
        <v>4</v>
      </c>
      <c r="O12" s="107"/>
      <c r="P12" s="96"/>
      <c r="Q12" s="108"/>
      <c r="R12" s="101"/>
      <c r="S12" s="94"/>
    </row>
    <row r="13" s="92" customFormat="1" ht="28.8" spans="1:21">
      <c r="A13" s="101"/>
      <c r="B13" s="101"/>
      <c r="C13" s="101"/>
      <c r="D13" s="111"/>
      <c r="E13" s="111"/>
      <c r="F13" s="112"/>
      <c r="G13" s="101"/>
      <c r="H13" s="101"/>
      <c r="I13" s="107"/>
      <c r="J13" s="101"/>
      <c r="K13" s="101"/>
      <c r="L13" s="113" t="s">
        <v>1367</v>
      </c>
      <c r="M13" s="106">
        <v>8</v>
      </c>
      <c r="N13" s="106">
        <v>16</v>
      </c>
      <c r="O13" s="107"/>
      <c r="P13" s="114"/>
      <c r="Q13" s="108" t="s">
        <v>1365</v>
      </c>
      <c r="R13" s="101"/>
      <c r="S13" s="94"/>
    </row>
    <row r="14" ht="25" customHeight="1" spans="1:21">
      <c r="A14" s="101" t="s">
        <v>1368</v>
      </c>
      <c r="B14" s="101" t="s">
        <v>1369</v>
      </c>
      <c r="C14" s="101" t="s">
        <v>1341</v>
      </c>
      <c r="D14" s="108"/>
      <c r="E14" s="108"/>
      <c r="F14" s="101" t="s">
        <v>19</v>
      </c>
      <c r="G14" s="101" t="s">
        <v>1345</v>
      </c>
      <c r="H14" s="101" t="s">
        <v>1346</v>
      </c>
      <c r="I14" s="101" t="s">
        <v>1370</v>
      </c>
      <c r="J14" s="101">
        <v>8003</v>
      </c>
      <c r="K14" s="101" t="s">
        <v>1371</v>
      </c>
      <c r="L14" s="115" t="s">
        <v>18</v>
      </c>
      <c r="M14" s="116">
        <v>0</v>
      </c>
      <c r="N14" s="117">
        <v>4</v>
      </c>
      <c r="O14" s="107">
        <v>500</v>
      </c>
      <c r="P14" s="118" t="s">
        <v>1372</v>
      </c>
      <c r="Q14" s="108"/>
      <c r="R14" s="101" t="s">
        <v>1373</v>
      </c>
      <c r="S14" s="94"/>
    </row>
    <row r="15" spans="1:21">
      <c r="A15" s="101"/>
      <c r="B15" s="101"/>
      <c r="C15" s="101"/>
      <c r="D15" s="108"/>
      <c r="E15" s="108"/>
      <c r="F15" s="101" t="s">
        <v>71</v>
      </c>
      <c r="G15" s="101"/>
      <c r="H15" s="101"/>
      <c r="I15" s="101"/>
      <c r="J15" s="101"/>
      <c r="K15" s="101"/>
      <c r="L15" s="115" t="s">
        <v>20</v>
      </c>
      <c r="M15" s="116">
        <v>4</v>
      </c>
      <c r="N15" s="117">
        <v>4</v>
      </c>
      <c r="O15" s="107"/>
      <c r="P15" s="118"/>
      <c r="Q15" s="108"/>
      <c r="R15" s="101"/>
      <c r="S15" s="94"/>
      <c r="U15" s="92">
        <v>3</v>
      </c>
    </row>
    <row r="16" ht="19" customHeight="1" spans="1:21">
      <c r="A16" s="101"/>
      <c r="B16" s="101"/>
      <c r="C16" s="101"/>
      <c r="D16" s="108" t="s">
        <v>1374</v>
      </c>
      <c r="E16" s="108" t="s">
        <v>1373</v>
      </c>
      <c r="F16" s="103" t="s">
        <v>77</v>
      </c>
      <c r="G16" s="101"/>
      <c r="H16" s="101"/>
      <c r="I16" s="101"/>
      <c r="J16" s="101"/>
      <c r="K16" s="101"/>
      <c r="L16" s="115" t="s">
        <v>52</v>
      </c>
      <c r="M16" s="116">
        <v>8</v>
      </c>
      <c r="N16" s="117">
        <v>4</v>
      </c>
      <c r="O16" s="107"/>
      <c r="P16" s="118"/>
      <c r="Q16" s="108" t="s">
        <v>1375</v>
      </c>
      <c r="R16" s="101"/>
      <c r="S16" s="94"/>
    </row>
    <row r="17" ht="16" customHeight="1" spans="1:21">
      <c r="A17" s="101"/>
      <c r="B17" s="101"/>
      <c r="C17" s="101"/>
      <c r="D17" s="108" t="s">
        <v>1374</v>
      </c>
      <c r="E17" s="108" t="s">
        <v>1373</v>
      </c>
      <c r="F17" s="112"/>
      <c r="G17" s="101"/>
      <c r="H17" s="101"/>
      <c r="I17" s="101"/>
      <c r="J17" s="101"/>
      <c r="K17" s="101"/>
      <c r="L17" s="115" t="s">
        <v>53</v>
      </c>
      <c r="M17" s="116">
        <v>12</v>
      </c>
      <c r="N17" s="117">
        <v>4</v>
      </c>
      <c r="O17" s="107"/>
      <c r="P17" s="118"/>
      <c r="Q17" s="108" t="s">
        <v>1375</v>
      </c>
      <c r="R17" s="101"/>
      <c r="S17" s="94"/>
    </row>
    <row r="18" ht="25" customHeight="1" spans="1:21">
      <c r="A18" s="101" t="s">
        <v>1376</v>
      </c>
      <c r="B18" s="101" t="s">
        <v>1369</v>
      </c>
      <c r="C18" s="101" t="s">
        <v>1341</v>
      </c>
      <c r="D18" s="108"/>
      <c r="E18" s="108"/>
      <c r="F18" s="101" t="s">
        <v>19</v>
      </c>
      <c r="G18" s="101" t="s">
        <v>1345</v>
      </c>
      <c r="H18" s="101" t="s">
        <v>1346</v>
      </c>
      <c r="I18" s="101" t="s">
        <v>1370</v>
      </c>
      <c r="J18" s="101">
        <v>8005</v>
      </c>
      <c r="K18" s="101" t="s">
        <v>1371</v>
      </c>
      <c r="L18" s="115" t="s">
        <v>18</v>
      </c>
      <c r="M18" s="116">
        <v>0</v>
      </c>
      <c r="N18" s="117">
        <v>4</v>
      </c>
      <c r="O18" s="107">
        <v>500</v>
      </c>
      <c r="P18" s="118" t="s">
        <v>1377</v>
      </c>
      <c r="Q18" s="108"/>
      <c r="R18" s="101" t="s">
        <v>1373</v>
      </c>
      <c r="S18" s="94"/>
    </row>
    <row r="19" spans="1:21">
      <c r="A19" s="101"/>
      <c r="B19" s="101"/>
      <c r="C19" s="101"/>
      <c r="D19" s="108"/>
      <c r="E19" s="108"/>
      <c r="F19" s="101" t="s">
        <v>71</v>
      </c>
      <c r="G19" s="101"/>
      <c r="H19" s="101"/>
      <c r="I19" s="101"/>
      <c r="J19" s="101"/>
      <c r="K19" s="101"/>
      <c r="L19" s="115" t="s">
        <v>20</v>
      </c>
      <c r="M19" s="116">
        <v>4</v>
      </c>
      <c r="N19" s="117">
        <v>4</v>
      </c>
      <c r="O19" s="107"/>
      <c r="P19" s="118"/>
      <c r="Q19" s="108"/>
      <c r="R19" s="101"/>
      <c r="S19" s="94"/>
    </row>
    <row r="20" ht="17" customHeight="1" spans="1:21">
      <c r="A20" s="101"/>
      <c r="B20" s="101"/>
      <c r="C20" s="101"/>
      <c r="D20" s="108" t="s">
        <v>1374</v>
      </c>
      <c r="E20" s="108" t="s">
        <v>1373</v>
      </c>
      <c r="F20" s="103" t="s">
        <v>77</v>
      </c>
      <c r="G20" s="101"/>
      <c r="H20" s="101"/>
      <c r="I20" s="101"/>
      <c r="J20" s="101"/>
      <c r="K20" s="101"/>
      <c r="L20" s="115" t="s">
        <v>56</v>
      </c>
      <c r="M20" s="116">
        <v>8</v>
      </c>
      <c r="N20" s="117">
        <v>4</v>
      </c>
      <c r="O20" s="107"/>
      <c r="P20" s="118"/>
      <c r="Q20" s="108" t="s">
        <v>1378</v>
      </c>
      <c r="R20" s="101"/>
      <c r="S20" s="94"/>
      <c r="U20" s="92">
        <v>2</v>
      </c>
    </row>
    <row r="21" ht="15" customHeight="1" spans="1:21">
      <c r="A21" s="101"/>
      <c r="B21" s="101"/>
      <c r="C21" s="101"/>
      <c r="D21" s="108" t="s">
        <v>1374</v>
      </c>
      <c r="E21" s="108" t="s">
        <v>1373</v>
      </c>
      <c r="F21" s="112"/>
      <c r="G21" s="101"/>
      <c r="H21" s="101"/>
      <c r="I21" s="101"/>
      <c r="J21" s="101"/>
      <c r="K21" s="101"/>
      <c r="L21" s="115" t="s">
        <v>57</v>
      </c>
      <c r="M21" s="116">
        <v>12</v>
      </c>
      <c r="N21" s="117">
        <v>4</v>
      </c>
      <c r="O21" s="107"/>
      <c r="P21" s="118"/>
      <c r="Q21" s="108" t="s">
        <v>1378</v>
      </c>
      <c r="R21" s="101"/>
      <c r="S21" s="94"/>
    </row>
    <row r="22" ht="25" customHeight="1" spans="1:21">
      <c r="A22" s="101" t="s">
        <v>1379</v>
      </c>
      <c r="B22" s="101" t="s">
        <v>1369</v>
      </c>
      <c r="C22" s="101" t="s">
        <v>1341</v>
      </c>
      <c r="D22" s="108"/>
      <c r="E22" s="108"/>
      <c r="F22" s="101" t="s">
        <v>19</v>
      </c>
      <c r="G22" s="101" t="s">
        <v>1345</v>
      </c>
      <c r="H22" s="101" t="s">
        <v>1346</v>
      </c>
      <c r="I22" s="101" t="s">
        <v>1370</v>
      </c>
      <c r="J22" s="101">
        <v>8007</v>
      </c>
      <c r="K22" s="101" t="s">
        <v>1371</v>
      </c>
      <c r="L22" s="115" t="s">
        <v>18</v>
      </c>
      <c r="M22" s="116">
        <v>0</v>
      </c>
      <c r="N22" s="117">
        <v>4</v>
      </c>
      <c r="O22" s="107">
        <v>500</v>
      </c>
      <c r="P22" s="118" t="s">
        <v>1377</v>
      </c>
      <c r="Q22" s="108"/>
      <c r="R22" s="101" t="s">
        <v>1373</v>
      </c>
      <c r="S22" s="94"/>
    </row>
    <row r="23" spans="1:21">
      <c r="A23" s="101"/>
      <c r="B23" s="101"/>
      <c r="C23" s="101"/>
      <c r="D23" s="108"/>
      <c r="E23" s="108"/>
      <c r="F23" s="101" t="s">
        <v>71</v>
      </c>
      <c r="G23" s="101"/>
      <c r="H23" s="101"/>
      <c r="I23" s="101"/>
      <c r="J23" s="101"/>
      <c r="K23" s="101"/>
      <c r="L23" s="115" t="s">
        <v>20</v>
      </c>
      <c r="M23" s="116">
        <v>4</v>
      </c>
      <c r="N23" s="117">
        <v>4</v>
      </c>
      <c r="O23" s="107"/>
      <c r="P23" s="118"/>
      <c r="Q23" s="108"/>
      <c r="R23" s="101"/>
      <c r="S23" s="94"/>
    </row>
    <row r="24" ht="18" customHeight="1" spans="1:21">
      <c r="A24" s="101"/>
      <c r="B24" s="101"/>
      <c r="C24" s="101"/>
      <c r="D24" s="108" t="s">
        <v>1374</v>
      </c>
      <c r="E24" s="108" t="s">
        <v>1373</v>
      </c>
      <c r="F24" s="112"/>
      <c r="G24" s="101"/>
      <c r="H24" s="101"/>
      <c r="I24" s="101"/>
      <c r="J24" s="101"/>
      <c r="K24" s="101"/>
      <c r="L24" s="115" t="s">
        <v>58</v>
      </c>
      <c r="M24" s="116">
        <v>8</v>
      </c>
      <c r="N24" s="117">
        <v>4</v>
      </c>
      <c r="O24" s="107"/>
      <c r="P24" s="118"/>
      <c r="Q24" s="108" t="s">
        <v>1380</v>
      </c>
      <c r="R24" s="101"/>
      <c r="S24" s="94"/>
      <c r="U24" s="92">
        <v>1</v>
      </c>
    </row>
    <row r="25" ht="25" customHeight="1" spans="1:21">
      <c r="A25" s="119" t="s">
        <v>1368</v>
      </c>
      <c r="B25" s="119" t="s">
        <v>1381</v>
      </c>
      <c r="C25" s="119" t="s">
        <v>1354</v>
      </c>
      <c r="D25" s="120"/>
      <c r="E25" s="120"/>
      <c r="F25" s="119" t="s">
        <v>19</v>
      </c>
      <c r="G25" s="119" t="s">
        <v>1345</v>
      </c>
      <c r="H25" s="119" t="s">
        <v>1355</v>
      </c>
      <c r="I25" s="119" t="s">
        <v>1370</v>
      </c>
      <c r="J25" s="119">
        <v>8004</v>
      </c>
      <c r="K25" s="119" t="s">
        <v>1371</v>
      </c>
      <c r="L25" s="121" t="s">
        <v>18</v>
      </c>
      <c r="M25" s="122">
        <v>0</v>
      </c>
      <c r="N25" s="123">
        <v>4</v>
      </c>
      <c r="O25" s="119">
        <v>500</v>
      </c>
      <c r="P25" s="124" t="s">
        <v>1372</v>
      </c>
      <c r="Q25" s="120"/>
      <c r="R25" s="119" t="s">
        <v>1373</v>
      </c>
      <c r="S25" s="94"/>
    </row>
    <row r="26" spans="1:21">
      <c r="A26" s="119"/>
      <c r="B26" s="119"/>
      <c r="C26" s="119"/>
      <c r="D26" s="120"/>
      <c r="E26" s="120"/>
      <c r="F26" s="119" t="s">
        <v>71</v>
      </c>
      <c r="G26" s="119"/>
      <c r="H26" s="119"/>
      <c r="I26" s="119"/>
      <c r="J26" s="119"/>
      <c r="K26" s="119"/>
      <c r="L26" s="121" t="s">
        <v>20</v>
      </c>
      <c r="M26" s="122">
        <v>4</v>
      </c>
      <c r="N26" s="123">
        <v>4</v>
      </c>
      <c r="O26" s="119"/>
      <c r="P26" s="124"/>
      <c r="Q26" s="120"/>
      <c r="R26" s="119"/>
      <c r="S26" s="94"/>
      <c r="U26" s="92">
        <v>3</v>
      </c>
    </row>
    <row r="27" ht="19" customHeight="1" spans="1:21">
      <c r="A27" s="119"/>
      <c r="B27" s="119"/>
      <c r="C27" s="119"/>
      <c r="D27" s="120" t="s">
        <v>1374</v>
      </c>
      <c r="E27" s="120" t="s">
        <v>1373</v>
      </c>
      <c r="F27" s="125" t="s">
        <v>77</v>
      </c>
      <c r="G27" s="119"/>
      <c r="H27" s="119"/>
      <c r="I27" s="119"/>
      <c r="J27" s="119"/>
      <c r="K27" s="119"/>
      <c r="L27" s="121" t="s">
        <v>52</v>
      </c>
      <c r="M27" s="122">
        <v>8</v>
      </c>
      <c r="N27" s="123">
        <v>4</v>
      </c>
      <c r="O27" s="119"/>
      <c r="P27" s="124"/>
      <c r="Q27" s="120" t="s">
        <v>1375</v>
      </c>
      <c r="R27" s="119"/>
      <c r="S27" s="94"/>
    </row>
    <row r="28" ht="16" customHeight="1" spans="1:21">
      <c r="A28" s="119"/>
      <c r="B28" s="119"/>
      <c r="C28" s="119"/>
      <c r="D28" s="120" t="s">
        <v>1374</v>
      </c>
      <c r="E28" s="120" t="s">
        <v>1373</v>
      </c>
      <c r="F28" s="126"/>
      <c r="G28" s="119"/>
      <c r="H28" s="119"/>
      <c r="I28" s="119"/>
      <c r="J28" s="119"/>
      <c r="K28" s="119"/>
      <c r="L28" s="121" t="s">
        <v>53</v>
      </c>
      <c r="M28" s="122">
        <v>12</v>
      </c>
      <c r="N28" s="123">
        <v>4</v>
      </c>
      <c r="O28" s="119"/>
      <c r="P28" s="124"/>
      <c r="Q28" s="120" t="s">
        <v>1375</v>
      </c>
      <c r="R28" s="119"/>
      <c r="S28" s="94"/>
    </row>
    <row r="29" ht="25" customHeight="1" spans="1:21">
      <c r="A29" s="119" t="s">
        <v>1376</v>
      </c>
      <c r="B29" s="119" t="s">
        <v>1381</v>
      </c>
      <c r="C29" s="119" t="s">
        <v>1354</v>
      </c>
      <c r="D29" s="120"/>
      <c r="E29" s="120"/>
      <c r="F29" s="119" t="s">
        <v>19</v>
      </c>
      <c r="G29" s="119" t="s">
        <v>1345</v>
      </c>
      <c r="H29" s="119" t="s">
        <v>1355</v>
      </c>
      <c r="I29" s="119" t="s">
        <v>1370</v>
      </c>
      <c r="J29" s="119">
        <v>8006</v>
      </c>
      <c r="K29" s="119" t="s">
        <v>1371</v>
      </c>
      <c r="L29" s="121" t="s">
        <v>18</v>
      </c>
      <c r="M29" s="122">
        <v>0</v>
      </c>
      <c r="N29" s="123">
        <v>4</v>
      </c>
      <c r="O29" s="119">
        <v>500</v>
      </c>
      <c r="P29" s="124" t="s">
        <v>1377</v>
      </c>
      <c r="Q29" s="120"/>
      <c r="R29" s="119" t="s">
        <v>1373</v>
      </c>
      <c r="S29" s="94"/>
    </row>
    <row r="30" spans="1:21">
      <c r="A30" s="119"/>
      <c r="B30" s="119"/>
      <c r="C30" s="119"/>
      <c r="D30" s="120"/>
      <c r="E30" s="120"/>
      <c r="F30" s="119" t="s">
        <v>71</v>
      </c>
      <c r="G30" s="119"/>
      <c r="H30" s="119"/>
      <c r="I30" s="119"/>
      <c r="J30" s="119"/>
      <c r="K30" s="119"/>
      <c r="L30" s="121" t="s">
        <v>20</v>
      </c>
      <c r="M30" s="122">
        <v>4</v>
      </c>
      <c r="N30" s="123">
        <v>4</v>
      </c>
      <c r="O30" s="119"/>
      <c r="P30" s="124"/>
      <c r="Q30" s="120"/>
      <c r="R30" s="119"/>
      <c r="S30" s="94"/>
    </row>
    <row r="31" ht="17" customHeight="1" spans="1:21">
      <c r="A31" s="119"/>
      <c r="B31" s="119"/>
      <c r="C31" s="119"/>
      <c r="D31" s="120" t="s">
        <v>1374</v>
      </c>
      <c r="E31" s="120" t="s">
        <v>1373</v>
      </c>
      <c r="F31" s="125" t="s">
        <v>77</v>
      </c>
      <c r="G31" s="119"/>
      <c r="H31" s="119"/>
      <c r="I31" s="119"/>
      <c r="J31" s="119"/>
      <c r="K31" s="119"/>
      <c r="L31" s="121" t="s">
        <v>56</v>
      </c>
      <c r="M31" s="122">
        <v>8</v>
      </c>
      <c r="N31" s="123">
        <v>4</v>
      </c>
      <c r="O31" s="119"/>
      <c r="P31" s="124"/>
      <c r="Q31" s="120" t="s">
        <v>1378</v>
      </c>
      <c r="R31" s="119"/>
      <c r="S31" s="94"/>
      <c r="U31" s="92">
        <v>2</v>
      </c>
    </row>
    <row r="32" ht="15" customHeight="1" spans="1:21">
      <c r="A32" s="119"/>
      <c r="B32" s="119"/>
      <c r="C32" s="119"/>
      <c r="D32" s="120" t="s">
        <v>1374</v>
      </c>
      <c r="E32" s="120" t="s">
        <v>1373</v>
      </c>
      <c r="F32" s="126"/>
      <c r="G32" s="119"/>
      <c r="H32" s="119"/>
      <c r="I32" s="119"/>
      <c r="J32" s="119"/>
      <c r="K32" s="119"/>
      <c r="L32" s="121" t="s">
        <v>57</v>
      </c>
      <c r="M32" s="122">
        <v>12</v>
      </c>
      <c r="N32" s="123">
        <v>4</v>
      </c>
      <c r="O32" s="119"/>
      <c r="P32" s="124"/>
      <c r="Q32" s="120" t="s">
        <v>1378</v>
      </c>
      <c r="R32" s="119"/>
      <c r="S32" s="94"/>
    </row>
    <row r="33" ht="25" customHeight="1" spans="1:21">
      <c r="A33" s="119" t="s">
        <v>1379</v>
      </c>
      <c r="B33" s="119" t="s">
        <v>1381</v>
      </c>
      <c r="C33" s="119" t="s">
        <v>1354</v>
      </c>
      <c r="D33" s="120"/>
      <c r="E33" s="120"/>
      <c r="F33" s="119" t="s">
        <v>19</v>
      </c>
      <c r="G33" s="119" t="s">
        <v>1345</v>
      </c>
      <c r="H33" s="119" t="s">
        <v>1355</v>
      </c>
      <c r="I33" s="119" t="s">
        <v>1370</v>
      </c>
      <c r="J33" s="119">
        <v>8008</v>
      </c>
      <c r="K33" s="119" t="s">
        <v>1371</v>
      </c>
      <c r="L33" s="121" t="s">
        <v>18</v>
      </c>
      <c r="M33" s="122">
        <v>0</v>
      </c>
      <c r="N33" s="123">
        <v>4</v>
      </c>
      <c r="O33" s="119">
        <v>500</v>
      </c>
      <c r="P33" s="124" t="s">
        <v>1377</v>
      </c>
      <c r="Q33" s="120"/>
      <c r="R33" s="119" t="s">
        <v>1373</v>
      </c>
      <c r="S33" s="94"/>
    </row>
    <row r="34" spans="1:21">
      <c r="A34" s="119"/>
      <c r="B34" s="119"/>
      <c r="C34" s="119"/>
      <c r="D34" s="120"/>
      <c r="E34" s="120"/>
      <c r="F34" s="119" t="s">
        <v>71</v>
      </c>
      <c r="G34" s="119"/>
      <c r="H34" s="119"/>
      <c r="I34" s="119"/>
      <c r="J34" s="119"/>
      <c r="K34" s="119"/>
      <c r="L34" s="121" t="s">
        <v>20</v>
      </c>
      <c r="M34" s="122">
        <v>4</v>
      </c>
      <c r="N34" s="123">
        <v>4</v>
      </c>
      <c r="O34" s="119"/>
      <c r="P34" s="124"/>
      <c r="Q34" s="120"/>
      <c r="R34" s="119"/>
      <c r="S34" s="94"/>
    </row>
    <row r="35" ht="18" customHeight="1" spans="1:21">
      <c r="A35" s="119"/>
      <c r="B35" s="119"/>
      <c r="C35" s="119"/>
      <c r="D35" s="120" t="s">
        <v>1374</v>
      </c>
      <c r="E35" s="120" t="s">
        <v>1373</v>
      </c>
      <c r="F35" s="126"/>
      <c r="G35" s="119"/>
      <c r="H35" s="119"/>
      <c r="I35" s="119"/>
      <c r="J35" s="119"/>
      <c r="K35" s="119"/>
      <c r="L35" s="121" t="s">
        <v>58</v>
      </c>
      <c r="M35" s="122">
        <v>8</v>
      </c>
      <c r="N35" s="123">
        <v>4</v>
      </c>
      <c r="O35" s="119"/>
      <c r="P35" s="124"/>
      <c r="Q35" s="120" t="s">
        <v>1380</v>
      </c>
      <c r="R35" s="119"/>
      <c r="S35" s="94"/>
      <c r="U35" s="92">
        <v>1</v>
      </c>
    </row>
    <row r="36" spans="1:21">
      <c r="A36" s="101" t="s">
        <v>1382</v>
      </c>
      <c r="B36" s="101" t="s">
        <v>1383</v>
      </c>
      <c r="C36" s="103" t="s">
        <v>1341</v>
      </c>
      <c r="D36" s="103" t="s">
        <v>1384</v>
      </c>
      <c r="E36" s="103" t="s">
        <v>1385</v>
      </c>
      <c r="F36" s="103" t="s">
        <v>1386</v>
      </c>
      <c r="G36" s="103" t="s">
        <v>1345</v>
      </c>
      <c r="H36" s="103" t="s">
        <v>1346</v>
      </c>
      <c r="I36" s="103" t="s">
        <v>1387</v>
      </c>
      <c r="J36" s="103">
        <v>8011</v>
      </c>
      <c r="K36" s="101" t="s">
        <v>1388</v>
      </c>
      <c r="L36" s="115" t="s">
        <v>18</v>
      </c>
      <c r="M36" s="116">
        <v>0</v>
      </c>
      <c r="N36" s="117">
        <v>4</v>
      </c>
      <c r="O36" s="103">
        <v>20</v>
      </c>
      <c r="P36" s="127"/>
      <c r="R36" s="103" t="s">
        <v>1389</v>
      </c>
      <c r="S36" s="101" t="s">
        <v>1390</v>
      </c>
    </row>
    <row r="37" spans="1:21">
      <c r="A37" s="101"/>
      <c r="B37" s="101"/>
      <c r="C37" s="110"/>
      <c r="D37" s="110"/>
      <c r="E37" s="110"/>
      <c r="F37" s="110"/>
      <c r="G37" s="110"/>
      <c r="H37" s="110"/>
      <c r="I37" s="110"/>
      <c r="J37" s="110"/>
      <c r="K37" s="101"/>
      <c r="L37" s="115" t="s">
        <v>20</v>
      </c>
      <c r="M37" s="116">
        <v>4</v>
      </c>
      <c r="N37" s="117">
        <v>4</v>
      </c>
      <c r="O37" s="110"/>
      <c r="P37" s="128"/>
      <c r="R37" s="110"/>
      <c r="S37" s="101"/>
    </row>
    <row r="38" spans="1:21">
      <c r="A38" s="101"/>
      <c r="B38" s="101"/>
      <c r="C38" s="110"/>
      <c r="D38" s="110"/>
      <c r="E38" s="110"/>
      <c r="F38" s="110"/>
      <c r="G38" s="110"/>
      <c r="H38" s="110"/>
      <c r="I38" s="110"/>
      <c r="J38" s="110"/>
      <c r="K38" s="101"/>
      <c r="L38" s="129" t="s">
        <v>89</v>
      </c>
      <c r="M38" s="116">
        <v>8</v>
      </c>
      <c r="N38" s="117">
        <v>4</v>
      </c>
      <c r="O38" s="110"/>
      <c r="P38" s="128"/>
      <c r="R38" s="110"/>
      <c r="S38" s="101"/>
    </row>
    <row r="39" ht="18" customHeight="1" spans="1:21">
      <c r="A39" s="101"/>
      <c r="B39" s="101"/>
      <c r="C39" s="112"/>
      <c r="D39" s="112"/>
      <c r="E39" s="112"/>
      <c r="F39" s="112"/>
      <c r="G39" s="112"/>
      <c r="H39" s="112"/>
      <c r="I39" s="112"/>
      <c r="J39" s="112"/>
      <c r="K39" s="101"/>
      <c r="L39" s="115" t="s">
        <v>196</v>
      </c>
      <c r="M39" s="116">
        <v>12</v>
      </c>
      <c r="N39" s="117">
        <v>100</v>
      </c>
      <c r="O39" s="112"/>
      <c r="P39" s="130"/>
      <c r="Q39" s="94" t="s">
        <v>1391</v>
      </c>
      <c r="R39" s="112"/>
      <c r="S39" s="101"/>
    </row>
    <row r="40" spans="1:21">
      <c r="A40" s="101" t="s">
        <v>1392</v>
      </c>
      <c r="B40" s="101" t="s">
        <v>1393</v>
      </c>
      <c r="C40" s="103" t="s">
        <v>1354</v>
      </c>
      <c r="D40" s="103" t="s">
        <v>1384</v>
      </c>
      <c r="E40" s="103" t="s">
        <v>1385</v>
      </c>
      <c r="F40" s="103" t="s">
        <v>1386</v>
      </c>
      <c r="G40" s="103" t="s">
        <v>1345</v>
      </c>
      <c r="H40" s="103" t="s">
        <v>1355</v>
      </c>
      <c r="I40" s="103" t="s">
        <v>1387</v>
      </c>
      <c r="J40" s="103">
        <v>8012</v>
      </c>
      <c r="K40" s="101" t="s">
        <v>1388</v>
      </c>
      <c r="L40" s="115" t="s">
        <v>18</v>
      </c>
      <c r="M40" s="116">
        <v>0</v>
      </c>
      <c r="N40" s="117">
        <v>4</v>
      </c>
      <c r="O40" s="103">
        <v>20</v>
      </c>
      <c r="P40" s="127"/>
      <c r="R40" s="103" t="s">
        <v>1389</v>
      </c>
      <c r="S40" s="101" t="s">
        <v>1394</v>
      </c>
    </row>
    <row r="41" spans="1:21">
      <c r="A41" s="101"/>
      <c r="B41" s="101"/>
      <c r="C41" s="110"/>
      <c r="D41" s="110"/>
      <c r="E41" s="110"/>
      <c r="F41" s="110"/>
      <c r="G41" s="110"/>
      <c r="H41" s="110"/>
      <c r="I41" s="110"/>
      <c r="J41" s="110"/>
      <c r="K41" s="101"/>
      <c r="L41" s="115" t="s">
        <v>20</v>
      </c>
      <c r="M41" s="116">
        <v>4</v>
      </c>
      <c r="N41" s="117">
        <v>4</v>
      </c>
      <c r="O41" s="110"/>
      <c r="P41" s="128"/>
      <c r="R41" s="110"/>
      <c r="S41" s="101"/>
    </row>
    <row r="42" spans="1:21">
      <c r="A42" s="101"/>
      <c r="B42" s="101"/>
      <c r="C42" s="110"/>
      <c r="D42" s="110"/>
      <c r="E42" s="110"/>
      <c r="F42" s="110"/>
      <c r="G42" s="110"/>
      <c r="H42" s="110"/>
      <c r="I42" s="110"/>
      <c r="J42" s="110"/>
      <c r="K42" s="101"/>
      <c r="L42" s="129" t="s">
        <v>89</v>
      </c>
      <c r="M42" s="116">
        <v>8</v>
      </c>
      <c r="N42" s="117">
        <v>4</v>
      </c>
      <c r="O42" s="110"/>
      <c r="P42" s="128"/>
      <c r="R42" s="110"/>
      <c r="S42" s="101"/>
    </row>
    <row r="43" ht="18" customHeight="1" spans="1:21">
      <c r="A43" s="101"/>
      <c r="B43" s="101"/>
      <c r="C43" s="112"/>
      <c r="D43" s="112"/>
      <c r="E43" s="112"/>
      <c r="F43" s="112"/>
      <c r="G43" s="112"/>
      <c r="H43" s="112"/>
      <c r="I43" s="112"/>
      <c r="J43" s="112"/>
      <c r="K43" s="101"/>
      <c r="L43" s="115" t="s">
        <v>196</v>
      </c>
      <c r="M43" s="116">
        <v>12</v>
      </c>
      <c r="N43" s="117">
        <v>100</v>
      </c>
      <c r="O43" s="112"/>
      <c r="P43" s="130"/>
      <c r="Q43" s="94" t="s">
        <v>1391</v>
      </c>
      <c r="R43" s="112"/>
      <c r="S43" s="101"/>
    </row>
    <row r="44" s="93" customFormat="1" spans="1:21">
      <c r="A44" s="131" t="s">
        <v>1395</v>
      </c>
      <c r="B44" s="131" t="s">
        <v>71</v>
      </c>
      <c r="C44" s="131" t="s">
        <v>1396</v>
      </c>
      <c r="D44" s="132"/>
      <c r="E44" s="131">
        <v>1301009</v>
      </c>
      <c r="F44" s="131" t="s">
        <v>19</v>
      </c>
      <c r="G44" s="131" t="s">
        <v>1345</v>
      </c>
      <c r="H44" s="131" t="s">
        <v>1397</v>
      </c>
      <c r="I44" s="131" t="s">
        <v>1398</v>
      </c>
      <c r="J44" s="131">
        <v>7002</v>
      </c>
      <c r="K44" s="131" t="s">
        <v>70</v>
      </c>
      <c r="L44" s="133" t="s">
        <v>87</v>
      </c>
      <c r="M44" s="134">
        <v>0</v>
      </c>
      <c r="N44" s="134">
        <v>4</v>
      </c>
      <c r="O44" s="135">
        <v>200</v>
      </c>
      <c r="P44" s="136"/>
      <c r="Q44" s="132"/>
      <c r="R44" s="131" t="s">
        <v>19</v>
      </c>
      <c r="S44" s="137" t="s">
        <v>1299</v>
      </c>
    </row>
    <row r="45" s="93" customFormat="1" spans="1:21">
      <c r="A45" s="135"/>
      <c r="B45" s="135"/>
      <c r="C45" s="135"/>
      <c r="D45" s="132"/>
      <c r="E45" s="135"/>
      <c r="F45" s="135"/>
      <c r="G45" s="135"/>
      <c r="H45" s="135"/>
      <c r="I45" s="135"/>
      <c r="J45" s="135"/>
      <c r="K45" s="135"/>
      <c r="L45" s="133" t="s">
        <v>88</v>
      </c>
      <c r="M45" s="134">
        <v>4</v>
      </c>
      <c r="N45" s="134">
        <v>4</v>
      </c>
      <c r="O45" s="135"/>
      <c r="P45" s="138"/>
      <c r="Q45" s="132"/>
      <c r="R45" s="135"/>
      <c r="S45" s="137"/>
    </row>
    <row r="46" s="93" customFormat="1" spans="1:21">
      <c r="A46" s="135"/>
      <c r="B46" s="135"/>
      <c r="C46" s="135"/>
      <c r="D46" s="132"/>
      <c r="E46" s="135"/>
      <c r="F46" s="135"/>
      <c r="G46" s="135"/>
      <c r="H46" s="135"/>
      <c r="I46" s="135"/>
      <c r="J46" s="135"/>
      <c r="K46" s="135"/>
      <c r="L46" s="139" t="s">
        <v>21</v>
      </c>
      <c r="M46" s="134">
        <v>8</v>
      </c>
      <c r="N46" s="134">
        <v>4</v>
      </c>
      <c r="O46" s="135"/>
      <c r="P46" s="138"/>
      <c r="Q46" s="132"/>
      <c r="R46" s="135"/>
      <c r="S46" s="137"/>
    </row>
    <row r="47" s="93" customFormat="1" spans="1:21">
      <c r="A47" s="135"/>
      <c r="B47" s="135"/>
      <c r="C47" s="135"/>
      <c r="D47" s="132"/>
      <c r="E47" s="135"/>
      <c r="F47" s="135"/>
      <c r="G47" s="135"/>
      <c r="H47" s="135"/>
      <c r="I47" s="135"/>
      <c r="J47" s="135"/>
      <c r="K47" s="135"/>
      <c r="L47" s="139" t="s">
        <v>22</v>
      </c>
      <c r="M47" s="134">
        <v>12</v>
      </c>
      <c r="N47" s="134">
        <v>4</v>
      </c>
      <c r="O47" s="135"/>
      <c r="P47" s="138"/>
      <c r="Q47" s="132"/>
      <c r="R47" s="135"/>
      <c r="S47" s="137"/>
    </row>
    <row r="48" s="93" customFormat="1" spans="1:21">
      <c r="A48" s="140"/>
      <c r="B48" s="140"/>
      <c r="C48" s="140"/>
      <c r="D48" s="141" t="s">
        <v>1399</v>
      </c>
      <c r="E48" s="140"/>
      <c r="F48" s="140"/>
      <c r="G48" s="140"/>
      <c r="H48" s="140"/>
      <c r="I48" s="140"/>
      <c r="J48" s="140"/>
      <c r="K48" s="140"/>
      <c r="L48" s="142" t="s">
        <v>23</v>
      </c>
      <c r="M48" s="65">
        <v>16</v>
      </c>
      <c r="N48" s="65">
        <v>4</v>
      </c>
      <c r="O48" s="140"/>
      <c r="P48" s="143"/>
      <c r="Q48" s="141" t="s">
        <v>1400</v>
      </c>
      <c r="R48" s="140"/>
      <c r="S48" s="104"/>
    </row>
    <row r="49" s="93" customFormat="1" spans="1:19">
      <c r="A49" s="135"/>
      <c r="B49" s="135"/>
      <c r="C49" s="135"/>
      <c r="D49" s="132"/>
      <c r="E49" s="135"/>
      <c r="F49" s="135"/>
      <c r="G49" s="135"/>
      <c r="H49" s="135"/>
      <c r="I49" s="135"/>
      <c r="J49" s="135"/>
      <c r="K49" s="135"/>
      <c r="L49" s="139" t="s">
        <v>24</v>
      </c>
      <c r="M49" s="134">
        <v>20</v>
      </c>
      <c r="N49" s="134">
        <v>4</v>
      </c>
      <c r="O49" s="135"/>
      <c r="P49" s="138"/>
      <c r="Q49" s="132"/>
      <c r="R49" s="135"/>
      <c r="S49" s="137"/>
    </row>
    <row r="50" s="93" customFormat="1" spans="1:19">
      <c r="A50" s="135"/>
      <c r="B50" s="135"/>
      <c r="C50" s="135"/>
      <c r="D50" s="132"/>
      <c r="E50" s="135"/>
      <c r="F50" s="135"/>
      <c r="G50" s="135"/>
      <c r="H50" s="135"/>
      <c r="I50" s="135"/>
      <c r="J50" s="135"/>
      <c r="K50" s="135"/>
      <c r="L50" s="133" t="s">
        <v>88</v>
      </c>
      <c r="M50" s="134">
        <v>24</v>
      </c>
      <c r="N50" s="134">
        <v>4</v>
      </c>
      <c r="O50" s="135"/>
      <c r="P50" s="138"/>
      <c r="Q50" s="132"/>
      <c r="R50" s="135"/>
      <c r="S50" s="137"/>
    </row>
    <row r="51" s="93" customFormat="1" spans="1:19">
      <c r="A51" s="135"/>
      <c r="B51" s="135"/>
      <c r="C51" s="135"/>
      <c r="D51" s="132"/>
      <c r="E51" s="135"/>
      <c r="F51" s="135"/>
      <c r="G51" s="135"/>
      <c r="H51" s="135"/>
      <c r="I51" s="135"/>
      <c r="J51" s="135"/>
      <c r="K51" s="135"/>
      <c r="L51" s="139" t="s">
        <v>25</v>
      </c>
      <c r="M51" s="134">
        <v>28</v>
      </c>
      <c r="N51" s="134">
        <v>4</v>
      </c>
      <c r="O51" s="135"/>
      <c r="P51" s="138"/>
      <c r="Q51" s="132"/>
      <c r="R51" s="135"/>
      <c r="S51" s="137"/>
    </row>
    <row r="52" s="93" customFormat="1" spans="1:19">
      <c r="A52" s="135"/>
      <c r="B52" s="135"/>
      <c r="C52" s="135"/>
      <c r="D52" s="132"/>
      <c r="E52" s="135"/>
      <c r="F52" s="135"/>
      <c r="G52" s="135"/>
      <c r="H52" s="135"/>
      <c r="I52" s="135"/>
      <c r="J52" s="135"/>
      <c r="K52" s="135"/>
      <c r="L52" s="139" t="s">
        <v>26</v>
      </c>
      <c r="M52" s="134">
        <v>32</v>
      </c>
      <c r="N52" s="134">
        <v>4</v>
      </c>
      <c r="O52" s="135"/>
      <c r="P52" s="138"/>
      <c r="Q52" s="132"/>
      <c r="R52" s="135"/>
      <c r="S52" s="137"/>
    </row>
    <row r="53" s="93" customFormat="1" spans="1:19">
      <c r="A53" s="140"/>
      <c r="B53" s="140"/>
      <c r="C53" s="140"/>
      <c r="D53" s="141" t="s">
        <v>1399</v>
      </c>
      <c r="E53" s="140"/>
      <c r="F53" s="140"/>
      <c r="G53" s="140"/>
      <c r="H53" s="140"/>
      <c r="I53" s="140"/>
      <c r="J53" s="140"/>
      <c r="K53" s="140"/>
      <c r="L53" s="142" t="s">
        <v>27</v>
      </c>
      <c r="M53" s="65">
        <v>36</v>
      </c>
      <c r="N53" s="65">
        <v>4</v>
      </c>
      <c r="O53" s="140"/>
      <c r="P53" s="143"/>
      <c r="Q53" s="141" t="s">
        <v>1400</v>
      </c>
      <c r="R53" s="140"/>
      <c r="S53" s="104"/>
    </row>
    <row r="54" s="93" customFormat="1" spans="1:19">
      <c r="A54" s="135"/>
      <c r="B54" s="135"/>
      <c r="C54" s="135"/>
      <c r="D54" s="132"/>
      <c r="E54" s="135"/>
      <c r="F54" s="135"/>
      <c r="G54" s="135"/>
      <c r="H54" s="135"/>
      <c r="I54" s="135"/>
      <c r="J54" s="135"/>
      <c r="K54" s="135"/>
      <c r="L54" s="139" t="s">
        <v>28</v>
      </c>
      <c r="M54" s="134">
        <v>40</v>
      </c>
      <c r="N54" s="134">
        <v>4</v>
      </c>
      <c r="O54" s="135"/>
      <c r="P54" s="138"/>
      <c r="Q54" s="132"/>
      <c r="R54" s="135"/>
      <c r="S54" s="137"/>
    </row>
    <row r="55" s="93" customFormat="1" spans="1:19">
      <c r="A55" s="135"/>
      <c r="B55" s="135"/>
      <c r="C55" s="135"/>
      <c r="D55" s="132"/>
      <c r="E55" s="135"/>
      <c r="F55" s="135"/>
      <c r="G55" s="135"/>
      <c r="H55" s="135"/>
      <c r="I55" s="135"/>
      <c r="J55" s="135"/>
      <c r="K55" s="135"/>
      <c r="L55" s="133" t="s">
        <v>88</v>
      </c>
      <c r="M55" s="134">
        <v>44</v>
      </c>
      <c r="N55" s="134">
        <v>4</v>
      </c>
      <c r="O55" s="135"/>
      <c r="P55" s="138"/>
      <c r="Q55" s="132"/>
      <c r="R55" s="135"/>
      <c r="S55" s="137"/>
    </row>
    <row r="56" s="93" customFormat="1" spans="1:19">
      <c r="A56" s="135"/>
      <c r="B56" s="135"/>
      <c r="C56" s="135"/>
      <c r="D56" s="141" t="s">
        <v>1399</v>
      </c>
      <c r="E56" s="135"/>
      <c r="F56" s="135"/>
      <c r="G56" s="135"/>
      <c r="H56" s="135"/>
      <c r="I56" s="135"/>
      <c r="J56" s="135"/>
      <c r="K56" s="135"/>
      <c r="L56" s="142" t="s">
        <v>29</v>
      </c>
      <c r="M56" s="65">
        <v>48</v>
      </c>
      <c r="N56" s="65">
        <v>4</v>
      </c>
      <c r="O56" s="135"/>
      <c r="P56" s="138"/>
      <c r="Q56" s="141" t="s">
        <v>1400</v>
      </c>
      <c r="R56" s="135"/>
      <c r="S56" s="137"/>
    </row>
    <row r="57" s="93" customFormat="1" spans="1:19">
      <c r="A57" s="135"/>
      <c r="B57" s="135"/>
      <c r="C57" s="135"/>
      <c r="D57" s="132"/>
      <c r="E57" s="135"/>
      <c r="F57" s="135"/>
      <c r="G57" s="135"/>
      <c r="H57" s="135"/>
      <c r="I57" s="135"/>
      <c r="J57" s="135"/>
      <c r="K57" s="135"/>
      <c r="L57" s="139" t="s">
        <v>30</v>
      </c>
      <c r="M57" s="134">
        <v>52</v>
      </c>
      <c r="N57" s="134">
        <v>4</v>
      </c>
      <c r="O57" s="135"/>
      <c r="P57" s="138"/>
      <c r="Q57" s="132"/>
      <c r="R57" s="135"/>
      <c r="S57" s="137"/>
    </row>
    <row r="58" s="93" customFormat="1" spans="1:19">
      <c r="A58" s="135"/>
      <c r="B58" s="135"/>
      <c r="C58" s="135"/>
      <c r="D58" s="132"/>
      <c r="E58" s="135"/>
      <c r="F58" s="135"/>
      <c r="G58" s="135"/>
      <c r="H58" s="135"/>
      <c r="I58" s="135"/>
      <c r="J58" s="135"/>
      <c r="K58" s="135"/>
      <c r="L58" s="139" t="s">
        <v>31</v>
      </c>
      <c r="M58" s="134">
        <v>56</v>
      </c>
      <c r="N58" s="134">
        <v>4</v>
      </c>
      <c r="O58" s="135"/>
      <c r="P58" s="138"/>
      <c r="Q58" s="132"/>
      <c r="R58" s="135"/>
      <c r="S58" s="137"/>
    </row>
    <row r="59" s="93" customFormat="1" spans="1:19">
      <c r="A59" s="135"/>
      <c r="B59" s="135"/>
      <c r="C59" s="135"/>
      <c r="D59" s="132"/>
      <c r="E59" s="135"/>
      <c r="F59" s="135"/>
      <c r="G59" s="135"/>
      <c r="H59" s="135"/>
      <c r="I59" s="135"/>
      <c r="J59" s="135"/>
      <c r="K59" s="135"/>
      <c r="L59" s="139" t="s">
        <v>32</v>
      </c>
      <c r="M59" s="134">
        <v>60</v>
      </c>
      <c r="N59" s="134">
        <v>4</v>
      </c>
      <c r="O59" s="135"/>
      <c r="P59" s="138"/>
      <c r="Q59" s="132"/>
      <c r="R59" s="135"/>
      <c r="S59" s="137"/>
    </row>
    <row r="60" s="93" customFormat="1" spans="1:19">
      <c r="A60" s="135"/>
      <c r="B60" s="135"/>
      <c r="C60" s="135"/>
      <c r="D60" s="132"/>
      <c r="E60" s="135"/>
      <c r="F60" s="135"/>
      <c r="G60" s="135"/>
      <c r="H60" s="135"/>
      <c r="I60" s="135"/>
      <c r="J60" s="135"/>
      <c r="K60" s="135"/>
      <c r="L60" s="133" t="s">
        <v>88</v>
      </c>
      <c r="M60" s="134">
        <v>64</v>
      </c>
      <c r="N60" s="134">
        <v>4</v>
      </c>
      <c r="O60" s="135"/>
      <c r="P60" s="138"/>
      <c r="Q60" s="132"/>
      <c r="R60" s="135"/>
      <c r="S60" s="137"/>
    </row>
    <row r="61" s="93" customFormat="1" spans="1:19">
      <c r="A61" s="135"/>
      <c r="B61" s="135"/>
      <c r="C61" s="135"/>
      <c r="D61" s="132"/>
      <c r="E61" s="135"/>
      <c r="F61" s="135"/>
      <c r="G61" s="135"/>
      <c r="H61" s="135"/>
      <c r="I61" s="135"/>
      <c r="J61" s="135"/>
      <c r="K61" s="135"/>
      <c r="L61" s="139" t="s">
        <v>33</v>
      </c>
      <c r="M61" s="134">
        <v>68</v>
      </c>
      <c r="N61" s="134">
        <v>4</v>
      </c>
      <c r="O61" s="135"/>
      <c r="P61" s="138"/>
      <c r="Q61" s="132"/>
      <c r="R61" s="135"/>
      <c r="S61" s="137"/>
    </row>
    <row r="62" s="93" customFormat="1" spans="1:19">
      <c r="A62" s="135"/>
      <c r="B62" s="135"/>
      <c r="C62" s="135"/>
      <c r="D62" s="132"/>
      <c r="E62" s="135"/>
      <c r="F62" s="135"/>
      <c r="G62" s="135"/>
      <c r="H62" s="135"/>
      <c r="I62" s="135"/>
      <c r="J62" s="135"/>
      <c r="K62" s="135"/>
      <c r="L62" s="139" t="s">
        <v>34</v>
      </c>
      <c r="M62" s="134">
        <v>72</v>
      </c>
      <c r="N62" s="134">
        <v>4</v>
      </c>
      <c r="O62" s="135"/>
      <c r="P62" s="138"/>
      <c r="Q62" s="132"/>
      <c r="R62" s="135"/>
      <c r="S62" s="137"/>
    </row>
    <row r="63" s="93" customFormat="1" spans="1:19">
      <c r="A63" s="135"/>
      <c r="B63" s="135"/>
      <c r="C63" s="135"/>
      <c r="D63" s="132"/>
      <c r="E63" s="135"/>
      <c r="F63" s="135"/>
      <c r="G63" s="135"/>
      <c r="H63" s="135"/>
      <c r="I63" s="135"/>
      <c r="J63" s="135"/>
      <c r="K63" s="135"/>
      <c r="L63" s="139" t="s">
        <v>35</v>
      </c>
      <c r="M63" s="134">
        <v>76</v>
      </c>
      <c r="N63" s="134">
        <v>4</v>
      </c>
      <c r="O63" s="135"/>
      <c r="P63" s="138"/>
      <c r="Q63" s="132"/>
      <c r="R63" s="135"/>
      <c r="S63" s="137"/>
    </row>
    <row r="64" s="93" customFormat="1" spans="1:19">
      <c r="A64" s="135"/>
      <c r="B64" s="135"/>
      <c r="C64" s="135"/>
      <c r="D64" s="132"/>
      <c r="E64" s="135"/>
      <c r="F64" s="135"/>
      <c r="G64" s="135"/>
      <c r="H64" s="135"/>
      <c r="I64" s="135"/>
      <c r="J64" s="135"/>
      <c r="K64" s="135"/>
      <c r="L64" s="139" t="s">
        <v>37</v>
      </c>
      <c r="M64" s="134">
        <v>80</v>
      </c>
      <c r="N64" s="134">
        <v>4</v>
      </c>
      <c r="O64" s="135"/>
      <c r="P64" s="138"/>
      <c r="Q64" s="132"/>
      <c r="R64" s="135"/>
      <c r="S64" s="137"/>
    </row>
    <row r="65" s="93" customFormat="1" spans="1:19">
      <c r="A65" s="135"/>
      <c r="B65" s="135"/>
      <c r="C65" s="135"/>
      <c r="D65" s="132"/>
      <c r="E65" s="135"/>
      <c r="F65" s="135"/>
      <c r="G65" s="135"/>
      <c r="H65" s="135"/>
      <c r="I65" s="135"/>
      <c r="J65" s="135"/>
      <c r="K65" s="135"/>
      <c r="L65" s="133" t="s">
        <v>88</v>
      </c>
      <c r="M65" s="134">
        <v>84</v>
      </c>
      <c r="N65" s="134">
        <v>4</v>
      </c>
      <c r="O65" s="135"/>
      <c r="P65" s="138"/>
      <c r="Q65" s="132"/>
      <c r="R65" s="135"/>
      <c r="S65" s="137"/>
    </row>
    <row r="66" s="93" customFormat="1" spans="1:19">
      <c r="A66" s="135"/>
      <c r="B66" s="135"/>
      <c r="C66" s="135"/>
      <c r="D66" s="132"/>
      <c r="E66" s="135"/>
      <c r="F66" s="135"/>
      <c r="G66" s="135"/>
      <c r="H66" s="135"/>
      <c r="I66" s="135"/>
      <c r="J66" s="135"/>
      <c r="K66" s="135"/>
      <c r="L66" s="139" t="s">
        <v>38</v>
      </c>
      <c r="M66" s="134">
        <v>88</v>
      </c>
      <c r="N66" s="134">
        <v>4</v>
      </c>
      <c r="O66" s="135"/>
      <c r="P66" s="138"/>
      <c r="Q66" s="132"/>
      <c r="R66" s="135"/>
      <c r="S66" s="137"/>
    </row>
    <row r="67" s="93" customFormat="1" spans="1:19">
      <c r="A67" s="135"/>
      <c r="B67" s="135"/>
      <c r="C67" s="135"/>
      <c r="D67" s="132"/>
      <c r="E67" s="135"/>
      <c r="F67" s="135"/>
      <c r="G67" s="135"/>
      <c r="H67" s="135"/>
      <c r="I67" s="135"/>
      <c r="J67" s="135"/>
      <c r="K67" s="135"/>
      <c r="L67" s="139" t="s">
        <v>39</v>
      </c>
      <c r="M67" s="134">
        <v>92</v>
      </c>
      <c r="N67" s="134">
        <v>4</v>
      </c>
      <c r="O67" s="135"/>
      <c r="P67" s="138"/>
      <c r="Q67" s="132"/>
      <c r="R67" s="135"/>
      <c r="S67" s="137"/>
    </row>
    <row r="68" s="93" customFormat="1" spans="1:19">
      <c r="A68" s="135"/>
      <c r="B68" s="135"/>
      <c r="C68" s="135"/>
      <c r="D68" s="132"/>
      <c r="E68" s="135"/>
      <c r="F68" s="135"/>
      <c r="G68" s="135"/>
      <c r="H68" s="135"/>
      <c r="I68" s="135"/>
      <c r="J68" s="135"/>
      <c r="K68" s="135"/>
      <c r="L68" s="139" t="s">
        <v>40</v>
      </c>
      <c r="M68" s="134">
        <v>96</v>
      </c>
      <c r="N68" s="134">
        <v>4</v>
      </c>
      <c r="O68" s="135"/>
      <c r="P68" s="138"/>
      <c r="Q68" s="132"/>
      <c r="R68" s="135"/>
      <c r="S68" s="137"/>
    </row>
    <row r="69" s="93" customFormat="1" spans="1:19">
      <c r="A69" s="135"/>
      <c r="B69" s="135"/>
      <c r="C69" s="135"/>
      <c r="D69" s="132"/>
      <c r="E69" s="135"/>
      <c r="F69" s="135"/>
      <c r="G69" s="135"/>
      <c r="H69" s="135"/>
      <c r="I69" s="135"/>
      <c r="J69" s="135"/>
      <c r="K69" s="135"/>
      <c r="L69" s="139" t="s">
        <v>41</v>
      </c>
      <c r="M69" s="134">
        <v>100</v>
      </c>
      <c r="N69" s="134">
        <v>4</v>
      </c>
      <c r="O69" s="135"/>
      <c r="P69" s="138"/>
      <c r="Q69" s="132"/>
      <c r="R69" s="135"/>
      <c r="S69" s="137"/>
    </row>
    <row r="70" s="93" customFormat="1" spans="1:19">
      <c r="A70" s="135"/>
      <c r="B70" s="135"/>
      <c r="C70" s="135"/>
      <c r="D70" s="132"/>
      <c r="E70" s="135"/>
      <c r="F70" s="135"/>
      <c r="G70" s="135"/>
      <c r="H70" s="135"/>
      <c r="I70" s="135"/>
      <c r="J70" s="135"/>
      <c r="K70" s="135"/>
      <c r="L70" s="133" t="s">
        <v>88</v>
      </c>
      <c r="M70" s="134">
        <v>104</v>
      </c>
      <c r="N70" s="134">
        <v>4</v>
      </c>
      <c r="O70" s="135"/>
      <c r="P70" s="138"/>
      <c r="Q70" s="132"/>
      <c r="R70" s="135"/>
      <c r="S70" s="137"/>
    </row>
    <row r="71" s="93" customFormat="1" spans="1:19">
      <c r="A71" s="135"/>
      <c r="B71" s="135"/>
      <c r="C71" s="135"/>
      <c r="D71" s="132"/>
      <c r="E71" s="135"/>
      <c r="F71" s="135"/>
      <c r="G71" s="135"/>
      <c r="H71" s="135"/>
      <c r="I71" s="135"/>
      <c r="J71" s="135"/>
      <c r="K71" s="135"/>
      <c r="L71" s="139" t="s">
        <v>42</v>
      </c>
      <c r="M71" s="134">
        <v>108</v>
      </c>
      <c r="N71" s="134">
        <v>4</v>
      </c>
      <c r="O71" s="135"/>
      <c r="P71" s="138"/>
      <c r="Q71" s="132"/>
      <c r="R71" s="135"/>
      <c r="S71" s="137"/>
    </row>
    <row r="72" s="93" customFormat="1" spans="1:19">
      <c r="A72" s="135"/>
      <c r="B72" s="135"/>
      <c r="C72" s="135"/>
      <c r="D72" s="132"/>
      <c r="E72" s="135"/>
      <c r="F72" s="135"/>
      <c r="G72" s="135"/>
      <c r="H72" s="135"/>
      <c r="I72" s="135"/>
      <c r="J72" s="135"/>
      <c r="K72" s="135"/>
      <c r="L72" s="139" t="s">
        <v>43</v>
      </c>
      <c r="M72" s="134">
        <v>112</v>
      </c>
      <c r="N72" s="134">
        <v>4</v>
      </c>
      <c r="O72" s="135"/>
      <c r="P72" s="138"/>
      <c r="Q72" s="132"/>
      <c r="R72" s="135"/>
      <c r="S72" s="137"/>
    </row>
    <row r="73" s="93" customFormat="1" spans="1:19">
      <c r="A73" s="135"/>
      <c r="B73" s="135"/>
      <c r="C73" s="135"/>
      <c r="D73" s="132"/>
      <c r="E73" s="135"/>
      <c r="F73" s="135"/>
      <c r="G73" s="135"/>
      <c r="H73" s="135"/>
      <c r="I73" s="135"/>
      <c r="J73" s="135"/>
      <c r="K73" s="135"/>
      <c r="L73" s="139" t="s">
        <v>44</v>
      </c>
      <c r="M73" s="134">
        <v>116</v>
      </c>
      <c r="N73" s="134">
        <v>4</v>
      </c>
      <c r="O73" s="135"/>
      <c r="P73" s="138"/>
      <c r="Q73" s="132"/>
      <c r="R73" s="135"/>
      <c r="S73" s="137"/>
    </row>
    <row r="74" s="93" customFormat="1" spans="1:19">
      <c r="A74" s="135"/>
      <c r="B74" s="135"/>
      <c r="C74" s="135"/>
      <c r="D74" s="132"/>
      <c r="E74" s="135"/>
      <c r="F74" s="135"/>
      <c r="G74" s="135"/>
      <c r="H74" s="135"/>
      <c r="I74" s="135"/>
      <c r="J74" s="135"/>
      <c r="K74" s="135"/>
      <c r="L74" s="139" t="s">
        <v>45</v>
      </c>
      <c r="M74" s="134">
        <v>120</v>
      </c>
      <c r="N74" s="134">
        <v>4</v>
      </c>
      <c r="O74" s="135"/>
      <c r="P74" s="138"/>
      <c r="Q74" s="132"/>
      <c r="R74" s="135"/>
      <c r="S74" s="137"/>
    </row>
    <row r="75" s="93" customFormat="1" spans="1:19">
      <c r="A75" s="135"/>
      <c r="B75" s="135"/>
      <c r="C75" s="135"/>
      <c r="D75" s="132"/>
      <c r="E75" s="135"/>
      <c r="F75" s="135"/>
      <c r="G75" s="135"/>
      <c r="H75" s="135"/>
      <c r="I75" s="135"/>
      <c r="J75" s="135"/>
      <c r="K75" s="135"/>
      <c r="L75" s="133" t="s">
        <v>88</v>
      </c>
      <c r="M75" s="134">
        <v>124</v>
      </c>
      <c r="N75" s="134">
        <v>4</v>
      </c>
      <c r="O75" s="135"/>
      <c r="P75" s="138"/>
      <c r="Q75" s="132"/>
      <c r="R75" s="135"/>
      <c r="S75" s="137"/>
    </row>
    <row r="76" s="93" customFormat="1" spans="1:19">
      <c r="A76" s="135"/>
      <c r="B76" s="135"/>
      <c r="C76" s="135"/>
      <c r="D76" s="132"/>
      <c r="E76" s="135"/>
      <c r="F76" s="135"/>
      <c r="G76" s="135"/>
      <c r="H76" s="135"/>
      <c r="I76" s="135"/>
      <c r="J76" s="135"/>
      <c r="K76" s="135"/>
      <c r="L76" s="139" t="s">
        <v>46</v>
      </c>
      <c r="M76" s="134">
        <v>128</v>
      </c>
      <c r="N76" s="134">
        <v>4</v>
      </c>
      <c r="O76" s="135"/>
      <c r="P76" s="138"/>
      <c r="Q76" s="132"/>
      <c r="R76" s="135"/>
      <c r="S76" s="137"/>
    </row>
    <row r="77" s="93" customFormat="1" spans="1:19">
      <c r="A77" s="135"/>
      <c r="B77" s="135"/>
      <c r="C77" s="135"/>
      <c r="D77" s="132"/>
      <c r="E77" s="135"/>
      <c r="F77" s="135"/>
      <c r="G77" s="135"/>
      <c r="H77" s="135"/>
      <c r="I77" s="135"/>
      <c r="J77" s="135"/>
      <c r="K77" s="135"/>
      <c r="L77" s="139" t="s">
        <v>47</v>
      </c>
      <c r="M77" s="134">
        <v>132</v>
      </c>
      <c r="N77" s="134">
        <v>4</v>
      </c>
      <c r="O77" s="135"/>
      <c r="P77" s="138"/>
      <c r="Q77" s="132"/>
      <c r="R77" s="135"/>
      <c r="S77" s="137"/>
    </row>
    <row r="78" s="93" customFormat="1" spans="1:19">
      <c r="A78" s="135"/>
      <c r="B78" s="135"/>
      <c r="C78" s="135"/>
      <c r="D78" s="132"/>
      <c r="E78" s="135"/>
      <c r="F78" s="135"/>
      <c r="G78" s="135"/>
      <c r="H78" s="135"/>
      <c r="I78" s="135"/>
      <c r="J78" s="135"/>
      <c r="K78" s="135"/>
      <c r="L78" s="139" t="s">
        <v>48</v>
      </c>
      <c r="M78" s="134">
        <v>136</v>
      </c>
      <c r="N78" s="134">
        <v>4</v>
      </c>
      <c r="O78" s="135"/>
      <c r="P78" s="138"/>
      <c r="Q78" s="132"/>
      <c r="R78" s="135"/>
      <c r="S78" s="137"/>
    </row>
    <row r="79" s="93" customFormat="1" spans="1:19">
      <c r="A79" s="135"/>
      <c r="B79" s="135"/>
      <c r="C79" s="135"/>
      <c r="D79" s="132"/>
      <c r="E79" s="135"/>
      <c r="F79" s="135"/>
      <c r="G79" s="135"/>
      <c r="H79" s="135"/>
      <c r="I79" s="135"/>
      <c r="J79" s="135"/>
      <c r="K79" s="135"/>
      <c r="L79" s="139" t="s">
        <v>49</v>
      </c>
      <c r="M79" s="134">
        <v>140</v>
      </c>
      <c r="N79" s="134">
        <v>4</v>
      </c>
      <c r="O79" s="135"/>
      <c r="P79" s="138"/>
      <c r="Q79" s="132"/>
      <c r="R79" s="135"/>
      <c r="S79" s="137"/>
    </row>
    <row r="80" s="93" customFormat="1" spans="1:19">
      <c r="A80" s="135"/>
      <c r="B80" s="135"/>
      <c r="C80" s="135"/>
      <c r="D80" s="132"/>
      <c r="E80" s="135"/>
      <c r="F80" s="135"/>
      <c r="G80" s="135"/>
      <c r="H80" s="135"/>
      <c r="I80" s="135"/>
      <c r="J80" s="135"/>
      <c r="K80" s="135"/>
      <c r="L80" s="133" t="s">
        <v>88</v>
      </c>
      <c r="M80" s="134">
        <v>144</v>
      </c>
      <c r="N80" s="134">
        <v>4</v>
      </c>
      <c r="O80" s="135"/>
      <c r="P80" s="138"/>
      <c r="Q80" s="132"/>
      <c r="R80" s="135"/>
      <c r="S80" s="137"/>
    </row>
    <row r="81" s="93" customFormat="1" spans="1:19">
      <c r="A81" s="135"/>
      <c r="B81" s="135"/>
      <c r="C81" s="135"/>
      <c r="D81" s="132"/>
      <c r="E81" s="135"/>
      <c r="F81" s="135"/>
      <c r="G81" s="135"/>
      <c r="H81" s="135"/>
      <c r="I81" s="135"/>
      <c r="J81" s="135"/>
      <c r="K81" s="135"/>
      <c r="L81" s="139" t="s">
        <v>50</v>
      </c>
      <c r="M81" s="134">
        <v>148</v>
      </c>
      <c r="N81" s="134">
        <v>4</v>
      </c>
      <c r="O81" s="135"/>
      <c r="P81" s="138"/>
      <c r="Q81" s="132"/>
      <c r="R81" s="135"/>
      <c r="S81" s="137"/>
    </row>
    <row r="82" s="93" customFormat="1" spans="1:19">
      <c r="A82" s="135"/>
      <c r="B82" s="135"/>
      <c r="C82" s="135"/>
      <c r="D82" s="132"/>
      <c r="E82" s="135"/>
      <c r="F82" s="135"/>
      <c r="G82" s="135"/>
      <c r="H82" s="135"/>
      <c r="I82" s="135"/>
      <c r="J82" s="135"/>
      <c r="K82" s="135"/>
      <c r="L82" s="139" t="s">
        <v>51</v>
      </c>
      <c r="M82" s="134">
        <v>152</v>
      </c>
      <c r="N82" s="134">
        <v>4</v>
      </c>
      <c r="O82" s="135"/>
      <c r="P82" s="138"/>
      <c r="Q82" s="132"/>
      <c r="R82" s="135"/>
      <c r="S82" s="137"/>
    </row>
    <row r="83" s="93" customFormat="1" spans="1:19">
      <c r="A83" s="135"/>
      <c r="B83" s="135"/>
      <c r="C83" s="135"/>
      <c r="D83" s="132"/>
      <c r="E83" s="135"/>
      <c r="F83" s="135"/>
      <c r="G83" s="135"/>
      <c r="H83" s="135"/>
      <c r="I83" s="135"/>
      <c r="J83" s="135"/>
      <c r="K83" s="135"/>
      <c r="L83" s="139" t="s">
        <v>52</v>
      </c>
      <c r="M83" s="134">
        <v>156</v>
      </c>
      <c r="N83" s="134">
        <v>4</v>
      </c>
      <c r="O83" s="135"/>
      <c r="P83" s="138"/>
      <c r="Q83" s="132"/>
      <c r="R83" s="135"/>
      <c r="S83" s="137"/>
    </row>
    <row r="84" s="93" customFormat="1" spans="1:19">
      <c r="A84" s="144"/>
      <c r="B84" s="144"/>
      <c r="C84" s="144"/>
      <c r="D84" s="132"/>
      <c r="E84" s="144"/>
      <c r="F84" s="144"/>
      <c r="G84" s="144"/>
      <c r="H84" s="144"/>
      <c r="I84" s="144"/>
      <c r="J84" s="144"/>
      <c r="K84" s="144"/>
      <c r="L84" s="145" t="s">
        <v>53</v>
      </c>
      <c r="M84" s="134">
        <v>160</v>
      </c>
      <c r="N84" s="134">
        <v>4</v>
      </c>
      <c r="O84" s="144"/>
      <c r="P84" s="146"/>
      <c r="Q84" s="132"/>
      <c r="R84" s="144"/>
      <c r="S84" s="137"/>
    </row>
    <row r="85" s="1" customFormat="1" ht="20" customHeight="1" spans="1:19">
      <c r="A85" s="103" t="s">
        <v>1401</v>
      </c>
      <c r="B85" s="147" t="s">
        <v>1402</v>
      </c>
      <c r="C85" s="103" t="s">
        <v>1341</v>
      </c>
      <c r="D85" s="148"/>
      <c r="E85" s="107">
        <v>1301009</v>
      </c>
      <c r="F85" s="101" t="s">
        <v>19</v>
      </c>
      <c r="G85" s="103" t="s">
        <v>1345</v>
      </c>
      <c r="H85" s="103" t="s">
        <v>1346</v>
      </c>
      <c r="I85" s="103" t="s">
        <v>1398</v>
      </c>
      <c r="J85" s="102">
        <v>8031</v>
      </c>
      <c r="K85" s="103" t="s">
        <v>1403</v>
      </c>
      <c r="L85" s="149" t="s">
        <v>87</v>
      </c>
      <c r="M85" s="75">
        <v>0</v>
      </c>
      <c r="N85" s="75">
        <v>4</v>
      </c>
      <c r="O85" s="102">
        <v>500</v>
      </c>
      <c r="P85" s="127" t="s">
        <v>1404</v>
      </c>
      <c r="Q85" s="132"/>
      <c r="R85" s="103" t="s">
        <v>19</v>
      </c>
      <c r="S85" s="101"/>
    </row>
    <row r="86" s="1" customFormat="1" ht="20" customHeight="1" spans="1:19">
      <c r="A86" s="110"/>
      <c r="B86" s="150"/>
      <c r="C86" s="110"/>
      <c r="D86" s="148"/>
      <c r="E86" s="107"/>
      <c r="F86" s="101"/>
      <c r="G86" s="110"/>
      <c r="H86" s="110"/>
      <c r="I86" s="110"/>
      <c r="J86" s="109"/>
      <c r="K86" s="110"/>
      <c r="L86" s="149" t="s">
        <v>88</v>
      </c>
      <c r="M86" s="75">
        <f t="shared" ref="M86:M94" si="0">M85+N85</f>
        <v>4</v>
      </c>
      <c r="N86" s="75">
        <v>4</v>
      </c>
      <c r="O86" s="109"/>
      <c r="P86" s="128"/>
      <c r="Q86" s="132"/>
      <c r="R86" s="110"/>
      <c r="S86" s="101"/>
    </row>
    <row r="87" s="1" customFormat="1" ht="20" customHeight="1" spans="1:19">
      <c r="A87" s="110"/>
      <c r="B87" s="150"/>
      <c r="C87" s="110"/>
      <c r="D87" s="141" t="s">
        <v>1399</v>
      </c>
      <c r="E87" s="107"/>
      <c r="F87" s="101"/>
      <c r="G87" s="110"/>
      <c r="H87" s="110"/>
      <c r="I87" s="110"/>
      <c r="J87" s="109"/>
      <c r="K87" s="110"/>
      <c r="L87" s="151" t="s">
        <v>42</v>
      </c>
      <c r="M87" s="75">
        <f t="shared" si="0"/>
        <v>8</v>
      </c>
      <c r="N87" s="75">
        <v>4</v>
      </c>
      <c r="O87" s="109"/>
      <c r="P87" s="128"/>
      <c r="Q87" s="132" t="s">
        <v>1400</v>
      </c>
      <c r="R87" s="110"/>
      <c r="S87" s="101"/>
    </row>
    <row r="88" s="1" customFormat="1" ht="20" customHeight="1" spans="1:19">
      <c r="A88" s="103"/>
      <c r="B88" s="103" t="s">
        <v>1402</v>
      </c>
      <c r="C88" s="103" t="s">
        <v>1341</v>
      </c>
      <c r="D88" s="141"/>
      <c r="E88" s="102">
        <v>1301009</v>
      </c>
      <c r="F88" s="103" t="s">
        <v>19</v>
      </c>
      <c r="G88" s="103" t="s">
        <v>1345</v>
      </c>
      <c r="H88" s="103" t="s">
        <v>1346</v>
      </c>
      <c r="I88" s="103" t="s">
        <v>1398</v>
      </c>
      <c r="J88" s="102">
        <v>8016</v>
      </c>
      <c r="K88" s="103" t="s">
        <v>1403</v>
      </c>
      <c r="L88" s="149" t="s">
        <v>87</v>
      </c>
      <c r="M88" s="75">
        <v>0</v>
      </c>
      <c r="N88" s="75">
        <v>4</v>
      </c>
      <c r="O88" s="102">
        <v>500</v>
      </c>
      <c r="P88" s="127" t="s">
        <v>1404</v>
      </c>
      <c r="Q88" s="108"/>
      <c r="R88" s="103" t="s">
        <v>19</v>
      </c>
      <c r="S88" s="101"/>
    </row>
    <row r="89" s="1" customFormat="1" ht="20" customHeight="1" spans="1:19">
      <c r="A89" s="110"/>
      <c r="B89" s="110"/>
      <c r="C89" s="110"/>
      <c r="D89" s="141"/>
      <c r="E89" s="109"/>
      <c r="F89" s="110"/>
      <c r="G89" s="110"/>
      <c r="H89" s="110"/>
      <c r="I89" s="110"/>
      <c r="J89" s="109"/>
      <c r="K89" s="110"/>
      <c r="L89" s="149" t="s">
        <v>88</v>
      </c>
      <c r="M89" s="75">
        <f t="shared" si="0"/>
        <v>4</v>
      </c>
      <c r="N89" s="75">
        <v>4</v>
      </c>
      <c r="O89" s="109"/>
      <c r="P89" s="128"/>
      <c r="Q89" s="108"/>
      <c r="R89" s="103"/>
      <c r="S89" s="101"/>
    </row>
    <row r="90" s="1" customFormat="1" ht="20" customHeight="1" spans="1:19">
      <c r="A90" s="110"/>
      <c r="B90" s="110"/>
      <c r="C90" s="110"/>
      <c r="D90" s="141" t="s">
        <v>1399</v>
      </c>
      <c r="E90" s="109"/>
      <c r="F90" s="110"/>
      <c r="G90" s="110"/>
      <c r="H90" s="110"/>
      <c r="I90" s="110"/>
      <c r="J90" s="109"/>
      <c r="K90" s="110"/>
      <c r="L90" s="151" t="s">
        <v>1302</v>
      </c>
      <c r="M90" s="75">
        <f t="shared" si="0"/>
        <v>8</v>
      </c>
      <c r="N90" s="75">
        <v>4</v>
      </c>
      <c r="O90" s="109"/>
      <c r="P90" s="128"/>
      <c r="Q90" s="132" t="s">
        <v>1400</v>
      </c>
      <c r="R90" s="103"/>
      <c r="S90" s="101"/>
    </row>
    <row r="91" s="1" customFormat="1" ht="20" customHeight="1" spans="1:19">
      <c r="A91" s="110"/>
      <c r="B91" s="110"/>
      <c r="C91" s="110"/>
      <c r="D91" s="141" t="s">
        <v>1399</v>
      </c>
      <c r="E91" s="109"/>
      <c r="F91" s="110"/>
      <c r="G91" s="110"/>
      <c r="H91" s="110"/>
      <c r="I91" s="110"/>
      <c r="J91" s="109"/>
      <c r="K91" s="110"/>
      <c r="L91" s="151" t="s">
        <v>1303</v>
      </c>
      <c r="M91" s="75">
        <f t="shared" si="0"/>
        <v>12</v>
      </c>
      <c r="N91" s="75">
        <v>4</v>
      </c>
      <c r="O91" s="109"/>
      <c r="P91" s="128"/>
      <c r="Q91" s="132" t="s">
        <v>1400</v>
      </c>
      <c r="R91" s="103"/>
      <c r="S91" s="101"/>
    </row>
    <row r="92" s="1" customFormat="1" ht="20" customHeight="1" spans="1:19">
      <c r="A92" s="110"/>
      <c r="B92" s="110"/>
      <c r="C92" s="110"/>
      <c r="D92" s="141" t="s">
        <v>1399</v>
      </c>
      <c r="E92" s="109"/>
      <c r="F92" s="110"/>
      <c r="G92" s="110"/>
      <c r="H92" s="110"/>
      <c r="I92" s="110"/>
      <c r="J92" s="109"/>
      <c r="K92" s="110"/>
      <c r="L92" s="151" t="s">
        <v>1301</v>
      </c>
      <c r="M92" s="75">
        <f t="shared" si="0"/>
        <v>16</v>
      </c>
      <c r="N92" s="75">
        <v>4</v>
      </c>
      <c r="O92" s="109"/>
      <c r="P92" s="128"/>
      <c r="Q92" s="132" t="s">
        <v>1400</v>
      </c>
      <c r="R92" s="103"/>
      <c r="S92" s="101"/>
    </row>
    <row r="93" s="1" customFormat="1" ht="20" customHeight="1" spans="1:19">
      <c r="A93" s="110"/>
      <c r="B93" s="110"/>
      <c r="C93" s="110"/>
      <c r="D93" s="141" t="s">
        <v>1399</v>
      </c>
      <c r="E93" s="109"/>
      <c r="F93" s="110"/>
      <c r="G93" s="110"/>
      <c r="H93" s="110"/>
      <c r="I93" s="110"/>
      <c r="J93" s="109"/>
      <c r="K93" s="110"/>
      <c r="L93" s="151" t="s">
        <v>61</v>
      </c>
      <c r="M93" s="75">
        <f t="shared" si="0"/>
        <v>20</v>
      </c>
      <c r="N93" s="75">
        <v>4</v>
      </c>
      <c r="O93" s="109"/>
      <c r="P93" s="128"/>
      <c r="Q93" s="132" t="s">
        <v>1400</v>
      </c>
      <c r="R93" s="103"/>
      <c r="S93" s="101"/>
    </row>
    <row r="94" s="1" customFormat="1" ht="20" customHeight="1" spans="1:19">
      <c r="A94" s="110"/>
      <c r="B94" s="110"/>
      <c r="C94" s="110"/>
      <c r="D94" s="141"/>
      <c r="E94" s="109"/>
      <c r="F94" s="110"/>
      <c r="G94" s="110"/>
      <c r="H94" s="110"/>
      <c r="I94" s="110"/>
      <c r="J94" s="109"/>
      <c r="K94" s="110"/>
      <c r="L94" s="149" t="s">
        <v>88</v>
      </c>
      <c r="M94" s="75">
        <f t="shared" si="0"/>
        <v>24</v>
      </c>
      <c r="N94" s="75">
        <v>4</v>
      </c>
      <c r="O94" s="109"/>
      <c r="P94" s="128"/>
      <c r="Q94" s="108"/>
      <c r="R94" s="103"/>
      <c r="S94" s="101"/>
    </row>
    <row r="95" s="1" customFormat="1" ht="20" customHeight="1" spans="1:19">
      <c r="A95" s="110"/>
      <c r="B95" s="110"/>
      <c r="C95" s="110"/>
      <c r="D95" s="141" t="s">
        <v>1399</v>
      </c>
      <c r="E95" s="109"/>
      <c r="F95" s="110"/>
      <c r="G95" s="110"/>
      <c r="H95" s="110"/>
      <c r="I95" s="110"/>
      <c r="J95" s="109"/>
      <c r="K95" s="110"/>
      <c r="L95" s="151" t="s">
        <v>66</v>
      </c>
      <c r="M95" s="75">
        <v>28</v>
      </c>
      <c r="N95" s="75">
        <v>4</v>
      </c>
      <c r="O95" s="109"/>
      <c r="P95" s="128"/>
      <c r="Q95" s="132" t="s">
        <v>1400</v>
      </c>
      <c r="R95" s="103"/>
      <c r="S95" s="101"/>
    </row>
    <row r="96" s="1" customFormat="1" ht="20" customHeight="1" spans="1:19">
      <c r="A96" s="110"/>
      <c r="B96" s="110"/>
      <c r="C96" s="110"/>
      <c r="D96" s="141" t="s">
        <v>1399</v>
      </c>
      <c r="E96" s="109"/>
      <c r="F96" s="110"/>
      <c r="G96" s="110"/>
      <c r="H96" s="110"/>
      <c r="I96" s="110"/>
      <c r="J96" s="109"/>
      <c r="K96" s="110"/>
      <c r="L96" s="151" t="s">
        <v>1300</v>
      </c>
      <c r="M96" s="75">
        <v>32</v>
      </c>
      <c r="N96" s="75">
        <v>4</v>
      </c>
      <c r="O96" s="109"/>
      <c r="P96" s="128"/>
      <c r="Q96" s="132" t="s">
        <v>1400</v>
      </c>
      <c r="R96" s="103"/>
      <c r="S96" s="101"/>
    </row>
    <row r="97" s="92" customFormat="1" spans="1:19">
      <c r="A97" s="101" t="s">
        <v>1401</v>
      </c>
      <c r="B97" s="101" t="s">
        <v>1402</v>
      </c>
      <c r="C97" s="101" t="s">
        <v>1341</v>
      </c>
      <c r="D97" s="108"/>
      <c r="E97" s="102">
        <v>1301009</v>
      </c>
      <c r="F97" s="103" t="s">
        <v>19</v>
      </c>
      <c r="G97" s="101" t="s">
        <v>1345</v>
      </c>
      <c r="H97" s="101" t="s">
        <v>1346</v>
      </c>
      <c r="I97" s="101" t="s">
        <v>1398</v>
      </c>
      <c r="J97" s="107">
        <v>8030</v>
      </c>
      <c r="K97" s="101" t="s">
        <v>1403</v>
      </c>
      <c r="L97" s="149" t="s">
        <v>87</v>
      </c>
      <c r="M97" s="75">
        <v>0</v>
      </c>
      <c r="N97" s="75">
        <v>4</v>
      </c>
      <c r="O97" s="102">
        <v>200</v>
      </c>
      <c r="P97" s="118"/>
      <c r="Q97" s="108"/>
      <c r="R97" s="103" t="s">
        <v>19</v>
      </c>
      <c r="S97" s="101" t="s">
        <v>1299</v>
      </c>
    </row>
    <row r="98" s="92" customFormat="1" spans="1:19">
      <c r="A98" s="101"/>
      <c r="B98" s="101"/>
      <c r="C98" s="101"/>
      <c r="D98" s="108"/>
      <c r="E98" s="109"/>
      <c r="F98" s="110"/>
      <c r="G98" s="101"/>
      <c r="H98" s="101"/>
      <c r="I98" s="101"/>
      <c r="J98" s="107"/>
      <c r="K98" s="101"/>
      <c r="L98" s="149" t="s">
        <v>88</v>
      </c>
      <c r="M98" s="75">
        <f t="shared" ref="M98:M114" si="1">M97+N97</f>
        <v>4</v>
      </c>
      <c r="N98" s="75">
        <v>4</v>
      </c>
      <c r="O98" s="109"/>
      <c r="P98" s="118"/>
      <c r="Q98" s="108"/>
      <c r="R98" s="110"/>
      <c r="S98" s="101"/>
    </row>
    <row r="99" s="92" customFormat="1" spans="1:19">
      <c r="A99" s="101"/>
      <c r="B99" s="101"/>
      <c r="C99" s="101"/>
      <c r="D99" s="141" t="s">
        <v>1399</v>
      </c>
      <c r="E99" s="109"/>
      <c r="F99" s="110"/>
      <c r="G99" s="101"/>
      <c r="H99" s="101"/>
      <c r="I99" s="101"/>
      <c r="J99" s="107"/>
      <c r="K99" s="101"/>
      <c r="L99" s="151" t="s">
        <v>1405</v>
      </c>
      <c r="M99" s="75">
        <f t="shared" si="1"/>
        <v>8</v>
      </c>
      <c r="N99" s="75">
        <v>4</v>
      </c>
      <c r="O99" s="109"/>
      <c r="P99" s="118"/>
      <c r="Q99" s="132" t="s">
        <v>1400</v>
      </c>
      <c r="R99" s="110"/>
      <c r="S99" s="101"/>
    </row>
    <row r="100" s="92" customFormat="1" spans="1:19">
      <c r="A100" s="101"/>
      <c r="B100" s="101"/>
      <c r="C100" s="101"/>
      <c r="D100" s="141" t="s">
        <v>1399</v>
      </c>
      <c r="E100" s="109"/>
      <c r="F100" s="110"/>
      <c r="G100" s="101"/>
      <c r="H100" s="101"/>
      <c r="I100" s="101"/>
      <c r="J100" s="107"/>
      <c r="K100" s="101"/>
      <c r="L100" s="151" t="s">
        <v>44</v>
      </c>
      <c r="M100" s="75">
        <f t="shared" si="1"/>
        <v>12</v>
      </c>
      <c r="N100" s="75">
        <v>4</v>
      </c>
      <c r="O100" s="109"/>
      <c r="P100" s="118"/>
      <c r="Q100" s="132" t="s">
        <v>1400</v>
      </c>
      <c r="R100" s="110"/>
      <c r="S100" s="101"/>
    </row>
    <row r="101" s="92" customFormat="1" spans="1:19">
      <c r="A101" s="101"/>
      <c r="B101" s="101"/>
      <c r="C101" s="101"/>
      <c r="D101" s="141" t="s">
        <v>1399</v>
      </c>
      <c r="E101" s="109"/>
      <c r="F101" s="110"/>
      <c r="G101" s="101"/>
      <c r="H101" s="101"/>
      <c r="I101" s="101"/>
      <c r="J101" s="107"/>
      <c r="K101" s="101"/>
      <c r="L101" s="151" t="s">
        <v>47</v>
      </c>
      <c r="M101" s="75">
        <f t="shared" si="1"/>
        <v>16</v>
      </c>
      <c r="N101" s="75">
        <v>4</v>
      </c>
      <c r="O101" s="109"/>
      <c r="P101" s="118"/>
      <c r="Q101" s="132" t="s">
        <v>1400</v>
      </c>
      <c r="R101" s="110"/>
      <c r="S101" s="101"/>
    </row>
    <row r="102" s="92" customFormat="1" spans="1:19">
      <c r="A102" s="101"/>
      <c r="B102" s="101"/>
      <c r="C102" s="101"/>
      <c r="D102" s="141" t="s">
        <v>1399</v>
      </c>
      <c r="E102" s="109"/>
      <c r="F102" s="110"/>
      <c r="G102" s="101"/>
      <c r="H102" s="101"/>
      <c r="I102" s="101"/>
      <c r="J102" s="107"/>
      <c r="K102" s="101"/>
      <c r="L102" s="151" t="s">
        <v>45</v>
      </c>
      <c r="M102" s="75">
        <f t="shared" si="1"/>
        <v>20</v>
      </c>
      <c r="N102" s="75">
        <v>4</v>
      </c>
      <c r="O102" s="109"/>
      <c r="P102" s="118"/>
      <c r="Q102" s="132" t="s">
        <v>1400</v>
      </c>
      <c r="R102" s="110"/>
      <c r="S102" s="101"/>
    </row>
    <row r="103" s="92" customFormat="1" spans="1:19">
      <c r="A103" s="101"/>
      <c r="B103" s="101"/>
      <c r="C103" s="101"/>
      <c r="D103" s="108"/>
      <c r="E103" s="109"/>
      <c r="F103" s="110"/>
      <c r="G103" s="101"/>
      <c r="H103" s="101"/>
      <c r="I103" s="101"/>
      <c r="J103" s="107"/>
      <c r="K103" s="101"/>
      <c r="L103" s="149" t="s">
        <v>88</v>
      </c>
      <c r="M103" s="75">
        <f t="shared" si="1"/>
        <v>24</v>
      </c>
      <c r="N103" s="75">
        <v>4</v>
      </c>
      <c r="O103" s="109"/>
      <c r="P103" s="118"/>
      <c r="Q103" s="108"/>
      <c r="R103" s="110"/>
      <c r="S103" s="101"/>
    </row>
    <row r="104" s="92" customFormat="1" spans="1:19">
      <c r="A104" s="101"/>
      <c r="B104" s="101"/>
      <c r="C104" s="101"/>
      <c r="D104" s="141" t="s">
        <v>1399</v>
      </c>
      <c r="E104" s="109"/>
      <c r="F104" s="110"/>
      <c r="G104" s="101"/>
      <c r="H104" s="101"/>
      <c r="I104" s="101"/>
      <c r="J104" s="107"/>
      <c r="K104" s="101"/>
      <c r="L104" s="151" t="s">
        <v>1406</v>
      </c>
      <c r="M104" s="75">
        <f t="shared" si="1"/>
        <v>28</v>
      </c>
      <c r="N104" s="75">
        <v>4</v>
      </c>
      <c r="O104" s="109"/>
      <c r="P104" s="118"/>
      <c r="Q104" s="132" t="s">
        <v>1400</v>
      </c>
      <c r="R104" s="110"/>
      <c r="S104" s="101"/>
    </row>
    <row r="105" s="92" customFormat="1" spans="1:19">
      <c r="A105" s="101"/>
      <c r="B105" s="101"/>
      <c r="C105" s="101"/>
      <c r="D105" s="141" t="s">
        <v>1399</v>
      </c>
      <c r="E105" s="109"/>
      <c r="F105" s="110"/>
      <c r="G105" s="101"/>
      <c r="H105" s="101"/>
      <c r="I105" s="101"/>
      <c r="J105" s="107"/>
      <c r="K105" s="101"/>
      <c r="L105" s="151" t="s">
        <v>46</v>
      </c>
      <c r="M105" s="75">
        <f t="shared" si="1"/>
        <v>32</v>
      </c>
      <c r="N105" s="75">
        <v>4</v>
      </c>
      <c r="O105" s="109"/>
      <c r="P105" s="118"/>
      <c r="Q105" s="132" t="s">
        <v>1400</v>
      </c>
      <c r="R105" s="110"/>
      <c r="S105" s="101"/>
    </row>
    <row r="106" s="92" customFormat="1" spans="1:19">
      <c r="A106" s="101"/>
      <c r="B106" s="101"/>
      <c r="C106" s="101"/>
      <c r="D106" s="141" t="s">
        <v>1399</v>
      </c>
      <c r="E106" s="109"/>
      <c r="F106" s="110"/>
      <c r="G106" s="101"/>
      <c r="H106" s="101"/>
      <c r="I106" s="101"/>
      <c r="J106" s="107"/>
      <c r="K106" s="101"/>
      <c r="L106" s="151" t="s">
        <v>48</v>
      </c>
      <c r="M106" s="75">
        <f t="shared" si="1"/>
        <v>36</v>
      </c>
      <c r="N106" s="75">
        <v>4</v>
      </c>
      <c r="O106" s="109"/>
      <c r="P106" s="118"/>
      <c r="Q106" s="132" t="s">
        <v>1400</v>
      </c>
      <c r="R106" s="110"/>
      <c r="S106" s="101"/>
    </row>
    <row r="107" s="92" customFormat="1" spans="1:19">
      <c r="A107" s="101"/>
      <c r="B107" s="101"/>
      <c r="C107" s="101"/>
      <c r="D107" s="141" t="s">
        <v>1399</v>
      </c>
      <c r="E107" s="109"/>
      <c r="F107" s="110"/>
      <c r="G107" s="101"/>
      <c r="H107" s="101"/>
      <c r="I107" s="101"/>
      <c r="J107" s="107"/>
      <c r="K107" s="101"/>
      <c r="L107" s="151" t="s">
        <v>1407</v>
      </c>
      <c r="M107" s="75">
        <f t="shared" si="1"/>
        <v>40</v>
      </c>
      <c r="N107" s="75">
        <v>4</v>
      </c>
      <c r="O107" s="109"/>
      <c r="P107" s="118"/>
      <c r="Q107" s="132" t="s">
        <v>1400</v>
      </c>
      <c r="R107" s="110"/>
      <c r="S107" s="101"/>
    </row>
    <row r="108" s="92" customFormat="1" spans="1:19">
      <c r="A108" s="101"/>
      <c r="B108" s="101"/>
      <c r="C108" s="101"/>
      <c r="D108" s="108"/>
      <c r="E108" s="109"/>
      <c r="F108" s="110"/>
      <c r="G108" s="101"/>
      <c r="H108" s="101"/>
      <c r="I108" s="101"/>
      <c r="J108" s="107"/>
      <c r="K108" s="101"/>
      <c r="L108" s="149" t="s">
        <v>88</v>
      </c>
      <c r="M108" s="75">
        <f t="shared" si="1"/>
        <v>44</v>
      </c>
      <c r="N108" s="75">
        <v>4</v>
      </c>
      <c r="O108" s="109"/>
      <c r="P108" s="118"/>
      <c r="Q108" s="108"/>
      <c r="R108" s="110"/>
      <c r="S108" s="101"/>
    </row>
    <row r="109" s="92" customFormat="1" spans="1:19">
      <c r="A109" s="101"/>
      <c r="B109" s="101"/>
      <c r="C109" s="101"/>
      <c r="D109" s="141" t="s">
        <v>1399</v>
      </c>
      <c r="E109" s="109"/>
      <c r="F109" s="110"/>
      <c r="G109" s="101"/>
      <c r="H109" s="101"/>
      <c r="I109" s="101"/>
      <c r="J109" s="107"/>
      <c r="K109" s="101"/>
      <c r="L109" s="151" t="s">
        <v>1408</v>
      </c>
      <c r="M109" s="75">
        <f t="shared" si="1"/>
        <v>48</v>
      </c>
      <c r="N109" s="75">
        <v>4</v>
      </c>
      <c r="O109" s="109"/>
      <c r="P109" s="118"/>
      <c r="Q109" s="132" t="s">
        <v>1400</v>
      </c>
      <c r="R109" s="110"/>
      <c r="S109" s="101"/>
    </row>
    <row r="110" s="92" customFormat="1" spans="1:19">
      <c r="A110" s="101"/>
      <c r="B110" s="101"/>
      <c r="C110" s="101"/>
      <c r="D110" s="141" t="s">
        <v>1399</v>
      </c>
      <c r="E110" s="109"/>
      <c r="F110" s="110"/>
      <c r="G110" s="101"/>
      <c r="H110" s="101"/>
      <c r="I110" s="101"/>
      <c r="J110" s="107"/>
      <c r="K110" s="101"/>
      <c r="L110" s="151" t="s">
        <v>1409</v>
      </c>
      <c r="M110" s="75">
        <f t="shared" si="1"/>
        <v>52</v>
      </c>
      <c r="N110" s="75">
        <v>4</v>
      </c>
      <c r="O110" s="109"/>
      <c r="P110" s="118"/>
      <c r="Q110" s="132" t="s">
        <v>1400</v>
      </c>
      <c r="R110" s="110"/>
      <c r="S110" s="101"/>
    </row>
    <row r="111" s="92" customFormat="1" spans="1:19">
      <c r="A111" s="101"/>
      <c r="B111" s="101"/>
      <c r="C111" s="101"/>
      <c r="D111" s="141" t="s">
        <v>1399</v>
      </c>
      <c r="E111" s="109"/>
      <c r="F111" s="110"/>
      <c r="G111" s="101"/>
      <c r="H111" s="101"/>
      <c r="I111" s="101"/>
      <c r="J111" s="107"/>
      <c r="K111" s="101"/>
      <c r="L111" s="151" t="s">
        <v>1252</v>
      </c>
      <c r="M111" s="75">
        <f t="shared" si="1"/>
        <v>56</v>
      </c>
      <c r="N111" s="75">
        <v>4</v>
      </c>
      <c r="O111" s="109"/>
      <c r="P111" s="118"/>
      <c r="Q111" s="132" t="s">
        <v>1400</v>
      </c>
      <c r="R111" s="110"/>
      <c r="S111" s="101"/>
    </row>
    <row r="112" s="92" customFormat="1" spans="1:19">
      <c r="A112" s="101"/>
      <c r="B112" s="101"/>
      <c r="C112" s="101"/>
      <c r="D112" s="141" t="s">
        <v>1399</v>
      </c>
      <c r="E112" s="109"/>
      <c r="F112" s="110"/>
      <c r="G112" s="101"/>
      <c r="H112" s="101"/>
      <c r="I112" s="101"/>
      <c r="J112" s="107"/>
      <c r="K112" s="101"/>
      <c r="L112" s="151" t="s">
        <v>1251</v>
      </c>
      <c r="M112" s="75">
        <f t="shared" si="1"/>
        <v>60</v>
      </c>
      <c r="N112" s="75">
        <v>4</v>
      </c>
      <c r="O112" s="109"/>
      <c r="P112" s="118"/>
      <c r="Q112" s="132" t="s">
        <v>1400</v>
      </c>
      <c r="R112" s="110"/>
      <c r="S112" s="101"/>
    </row>
    <row r="113" s="92" customFormat="1" spans="1:19">
      <c r="A113" s="101"/>
      <c r="B113" s="101"/>
      <c r="C113" s="101"/>
      <c r="D113" s="108"/>
      <c r="E113" s="109"/>
      <c r="F113" s="110"/>
      <c r="G113" s="101"/>
      <c r="H113" s="101"/>
      <c r="I113" s="101"/>
      <c r="J113" s="107"/>
      <c r="K113" s="101"/>
      <c r="L113" s="149" t="s">
        <v>88</v>
      </c>
      <c r="M113" s="75">
        <f t="shared" si="1"/>
        <v>64</v>
      </c>
      <c r="N113" s="75">
        <v>4</v>
      </c>
      <c r="O113" s="109"/>
      <c r="P113" s="118"/>
      <c r="Q113" s="108"/>
      <c r="R113" s="110"/>
      <c r="S113" s="101"/>
    </row>
    <row r="114" s="92" customFormat="1" spans="1:19">
      <c r="A114" s="101"/>
      <c r="B114" s="101"/>
      <c r="C114" s="101"/>
      <c r="D114" s="141" t="s">
        <v>1399</v>
      </c>
      <c r="E114" s="109"/>
      <c r="F114" s="110"/>
      <c r="G114" s="101"/>
      <c r="H114" s="101"/>
      <c r="I114" s="101"/>
      <c r="J114" s="107"/>
      <c r="K114" s="101"/>
      <c r="L114" s="151" t="s">
        <v>1410</v>
      </c>
      <c r="M114" s="75">
        <f t="shared" si="1"/>
        <v>68</v>
      </c>
      <c r="N114" s="75">
        <v>4</v>
      </c>
      <c r="O114" s="109"/>
      <c r="P114" s="118"/>
      <c r="Q114" s="132" t="s">
        <v>1400</v>
      </c>
      <c r="R114" s="110"/>
      <c r="S114" s="101"/>
    </row>
    <row r="115" s="1" customFormat="1" ht="20" customHeight="1" spans="1:19">
      <c r="A115" s="125" t="s">
        <v>1401</v>
      </c>
      <c r="B115" s="152" t="s">
        <v>1411</v>
      </c>
      <c r="C115" s="125" t="s">
        <v>1354</v>
      </c>
      <c r="D115" s="153"/>
      <c r="E115" s="119">
        <v>1301009</v>
      </c>
      <c r="F115" s="119" t="s">
        <v>19</v>
      </c>
      <c r="G115" s="125" t="s">
        <v>1345</v>
      </c>
      <c r="H115" s="125" t="s">
        <v>1355</v>
      </c>
      <c r="I115" s="125" t="s">
        <v>1398</v>
      </c>
      <c r="J115" s="125">
        <v>8036</v>
      </c>
      <c r="K115" s="125" t="s">
        <v>1403</v>
      </c>
      <c r="L115" s="154" t="s">
        <v>87</v>
      </c>
      <c r="M115" s="155">
        <v>0</v>
      </c>
      <c r="N115" s="155">
        <v>4</v>
      </c>
      <c r="O115" s="125">
        <v>500</v>
      </c>
      <c r="P115" s="156" t="s">
        <v>1404</v>
      </c>
      <c r="Q115" s="157"/>
      <c r="R115" s="125" t="s">
        <v>19</v>
      </c>
      <c r="S115" s="101"/>
    </row>
    <row r="116" s="1" customFormat="1" ht="20" customHeight="1" spans="1:19">
      <c r="A116" s="158"/>
      <c r="B116" s="159"/>
      <c r="C116" s="158"/>
      <c r="D116" s="153"/>
      <c r="E116" s="119"/>
      <c r="F116" s="119"/>
      <c r="G116" s="158"/>
      <c r="H116" s="158"/>
      <c r="I116" s="158"/>
      <c r="J116" s="158"/>
      <c r="K116" s="158"/>
      <c r="L116" s="154" t="s">
        <v>88</v>
      </c>
      <c r="M116" s="155">
        <f t="shared" ref="M116:M124" si="2">M115+N115</f>
        <v>4</v>
      </c>
      <c r="N116" s="155">
        <v>4</v>
      </c>
      <c r="O116" s="158"/>
      <c r="P116" s="160"/>
      <c r="Q116" s="157"/>
      <c r="R116" s="158"/>
      <c r="S116" s="101"/>
    </row>
    <row r="117" s="1" customFormat="1" ht="20" customHeight="1" spans="1:19">
      <c r="A117" s="158"/>
      <c r="B117" s="159"/>
      <c r="C117" s="158"/>
      <c r="D117" s="157" t="s">
        <v>1399</v>
      </c>
      <c r="E117" s="119"/>
      <c r="F117" s="119"/>
      <c r="G117" s="158"/>
      <c r="H117" s="158"/>
      <c r="I117" s="158"/>
      <c r="J117" s="158"/>
      <c r="K117" s="158"/>
      <c r="L117" s="161" t="s">
        <v>42</v>
      </c>
      <c r="M117" s="155">
        <f t="shared" si="2"/>
        <v>8</v>
      </c>
      <c r="N117" s="155">
        <v>4</v>
      </c>
      <c r="O117" s="158"/>
      <c r="P117" s="160"/>
      <c r="Q117" s="157" t="s">
        <v>1400</v>
      </c>
      <c r="R117" s="158"/>
      <c r="S117" s="101"/>
    </row>
    <row r="118" s="1" customFormat="1" ht="20" customHeight="1" spans="1:19">
      <c r="A118" s="125"/>
      <c r="B118" s="125" t="s">
        <v>1411</v>
      </c>
      <c r="C118" s="125" t="s">
        <v>1354</v>
      </c>
      <c r="D118" s="157"/>
      <c r="E118" s="125">
        <v>1301009</v>
      </c>
      <c r="F118" s="125" t="s">
        <v>19</v>
      </c>
      <c r="G118" s="125" t="s">
        <v>1345</v>
      </c>
      <c r="H118" s="125" t="s">
        <v>1355</v>
      </c>
      <c r="I118" s="125" t="s">
        <v>1398</v>
      </c>
      <c r="J118" s="125">
        <v>8037</v>
      </c>
      <c r="K118" s="125" t="s">
        <v>1403</v>
      </c>
      <c r="L118" s="154" t="s">
        <v>87</v>
      </c>
      <c r="M118" s="155">
        <v>0</v>
      </c>
      <c r="N118" s="155">
        <v>4</v>
      </c>
      <c r="O118" s="125">
        <v>500</v>
      </c>
      <c r="P118" s="156" t="s">
        <v>1404</v>
      </c>
      <c r="Q118" s="120"/>
      <c r="R118" s="125" t="s">
        <v>19</v>
      </c>
      <c r="S118" s="101"/>
    </row>
    <row r="119" s="1" customFormat="1" ht="20" customHeight="1" spans="1:19">
      <c r="A119" s="158"/>
      <c r="B119" s="158"/>
      <c r="C119" s="158"/>
      <c r="D119" s="157"/>
      <c r="E119" s="158"/>
      <c r="F119" s="158"/>
      <c r="G119" s="158"/>
      <c r="H119" s="158"/>
      <c r="I119" s="158"/>
      <c r="J119" s="158"/>
      <c r="K119" s="158"/>
      <c r="L119" s="154" t="s">
        <v>88</v>
      </c>
      <c r="M119" s="155">
        <f t="shared" si="2"/>
        <v>4</v>
      </c>
      <c r="N119" s="155">
        <v>4</v>
      </c>
      <c r="O119" s="158"/>
      <c r="P119" s="160"/>
      <c r="Q119" s="120"/>
      <c r="R119" s="125"/>
      <c r="S119" s="101"/>
    </row>
    <row r="120" s="1" customFormat="1" ht="20" customHeight="1" spans="1:19">
      <c r="A120" s="158"/>
      <c r="B120" s="158"/>
      <c r="C120" s="158"/>
      <c r="D120" s="157" t="s">
        <v>1399</v>
      </c>
      <c r="E120" s="158"/>
      <c r="F120" s="158"/>
      <c r="G120" s="158"/>
      <c r="H120" s="158"/>
      <c r="I120" s="158"/>
      <c r="J120" s="158"/>
      <c r="K120" s="158"/>
      <c r="L120" s="161" t="s">
        <v>1302</v>
      </c>
      <c r="M120" s="155">
        <f t="shared" si="2"/>
        <v>8</v>
      </c>
      <c r="N120" s="155">
        <v>4</v>
      </c>
      <c r="O120" s="158"/>
      <c r="P120" s="160"/>
      <c r="Q120" s="157" t="s">
        <v>1400</v>
      </c>
      <c r="R120" s="125"/>
      <c r="S120" s="101"/>
    </row>
    <row r="121" s="1" customFormat="1" ht="20" customHeight="1" spans="1:19">
      <c r="A121" s="158"/>
      <c r="B121" s="158"/>
      <c r="C121" s="158"/>
      <c r="D121" s="157" t="s">
        <v>1399</v>
      </c>
      <c r="E121" s="158"/>
      <c r="F121" s="158"/>
      <c r="G121" s="158"/>
      <c r="H121" s="158"/>
      <c r="I121" s="158"/>
      <c r="J121" s="158"/>
      <c r="K121" s="158"/>
      <c r="L121" s="161" t="s">
        <v>1303</v>
      </c>
      <c r="M121" s="155">
        <f t="shared" si="2"/>
        <v>12</v>
      </c>
      <c r="N121" s="155">
        <v>4</v>
      </c>
      <c r="O121" s="158"/>
      <c r="P121" s="160"/>
      <c r="Q121" s="157" t="s">
        <v>1400</v>
      </c>
      <c r="R121" s="125"/>
      <c r="S121" s="101"/>
    </row>
    <row r="122" s="1" customFormat="1" ht="20" customHeight="1" spans="1:19">
      <c r="A122" s="158"/>
      <c r="B122" s="158"/>
      <c r="C122" s="158"/>
      <c r="D122" s="157" t="s">
        <v>1399</v>
      </c>
      <c r="E122" s="158"/>
      <c r="F122" s="158"/>
      <c r="G122" s="158"/>
      <c r="H122" s="158"/>
      <c r="I122" s="158"/>
      <c r="J122" s="158"/>
      <c r="K122" s="158"/>
      <c r="L122" s="161" t="s">
        <v>1301</v>
      </c>
      <c r="M122" s="155">
        <f t="shared" si="2"/>
        <v>16</v>
      </c>
      <c r="N122" s="155">
        <v>4</v>
      </c>
      <c r="O122" s="158"/>
      <c r="P122" s="160"/>
      <c r="Q122" s="157" t="s">
        <v>1400</v>
      </c>
      <c r="R122" s="125"/>
      <c r="S122" s="101"/>
    </row>
    <row r="123" s="1" customFormat="1" ht="20" customHeight="1" spans="1:19">
      <c r="A123" s="158"/>
      <c r="B123" s="158"/>
      <c r="C123" s="158"/>
      <c r="D123" s="157" t="s">
        <v>1399</v>
      </c>
      <c r="E123" s="158"/>
      <c r="F123" s="158"/>
      <c r="G123" s="158"/>
      <c r="H123" s="158"/>
      <c r="I123" s="158"/>
      <c r="J123" s="158"/>
      <c r="K123" s="158"/>
      <c r="L123" s="161" t="s">
        <v>61</v>
      </c>
      <c r="M123" s="155">
        <f t="shared" si="2"/>
        <v>20</v>
      </c>
      <c r="N123" s="155">
        <v>4</v>
      </c>
      <c r="O123" s="158"/>
      <c r="P123" s="160"/>
      <c r="Q123" s="157" t="s">
        <v>1400</v>
      </c>
      <c r="R123" s="125"/>
      <c r="S123" s="101"/>
    </row>
    <row r="124" s="1" customFormat="1" ht="20" customHeight="1" spans="1:19">
      <c r="A124" s="158"/>
      <c r="B124" s="158"/>
      <c r="C124" s="158"/>
      <c r="D124" s="157"/>
      <c r="E124" s="158"/>
      <c r="F124" s="158"/>
      <c r="G124" s="158"/>
      <c r="H124" s="158"/>
      <c r="I124" s="158"/>
      <c r="J124" s="158"/>
      <c r="K124" s="158"/>
      <c r="L124" s="154" t="s">
        <v>88</v>
      </c>
      <c r="M124" s="155">
        <f t="shared" si="2"/>
        <v>24</v>
      </c>
      <c r="N124" s="155">
        <v>4</v>
      </c>
      <c r="O124" s="158"/>
      <c r="P124" s="160"/>
      <c r="Q124" s="120"/>
      <c r="R124" s="125"/>
      <c r="S124" s="101"/>
    </row>
    <row r="125" s="1" customFormat="1" ht="20" customHeight="1" spans="1:19">
      <c r="A125" s="158"/>
      <c r="B125" s="158"/>
      <c r="C125" s="158"/>
      <c r="D125" s="157" t="s">
        <v>1399</v>
      </c>
      <c r="E125" s="158"/>
      <c r="F125" s="158"/>
      <c r="G125" s="158"/>
      <c r="H125" s="158"/>
      <c r="I125" s="158"/>
      <c r="J125" s="158"/>
      <c r="K125" s="158"/>
      <c r="L125" s="161" t="s">
        <v>66</v>
      </c>
      <c r="M125" s="155">
        <v>28</v>
      </c>
      <c r="N125" s="155">
        <v>4</v>
      </c>
      <c r="O125" s="158"/>
      <c r="P125" s="160"/>
      <c r="Q125" s="157" t="s">
        <v>1400</v>
      </c>
      <c r="R125" s="125"/>
      <c r="S125" s="101"/>
    </row>
    <row r="126" s="1" customFormat="1" ht="20" customHeight="1" spans="1:19">
      <c r="A126" s="158"/>
      <c r="B126" s="158"/>
      <c r="C126" s="158"/>
      <c r="D126" s="157" t="s">
        <v>1399</v>
      </c>
      <c r="E126" s="158"/>
      <c r="F126" s="158"/>
      <c r="G126" s="158"/>
      <c r="H126" s="158"/>
      <c r="I126" s="158"/>
      <c r="J126" s="158"/>
      <c r="K126" s="158"/>
      <c r="L126" s="161" t="s">
        <v>1300</v>
      </c>
      <c r="M126" s="155">
        <v>32</v>
      </c>
      <c r="N126" s="155">
        <v>4</v>
      </c>
      <c r="O126" s="158"/>
      <c r="P126" s="160"/>
      <c r="Q126" s="157" t="s">
        <v>1400</v>
      </c>
      <c r="R126" s="125"/>
      <c r="S126" s="101"/>
    </row>
    <row r="127" s="92" customFormat="1" spans="1:19">
      <c r="A127" s="119" t="s">
        <v>1401</v>
      </c>
      <c r="B127" s="119" t="s">
        <v>1411</v>
      </c>
      <c r="C127" s="119" t="s">
        <v>1354</v>
      </c>
      <c r="D127" s="120"/>
      <c r="E127" s="125">
        <v>1301009</v>
      </c>
      <c r="F127" s="125" t="s">
        <v>19</v>
      </c>
      <c r="G127" s="119" t="s">
        <v>1345</v>
      </c>
      <c r="H127" s="119" t="s">
        <v>1355</v>
      </c>
      <c r="I127" s="119" t="s">
        <v>1398</v>
      </c>
      <c r="J127" s="119">
        <v>8038</v>
      </c>
      <c r="K127" s="119" t="s">
        <v>1403</v>
      </c>
      <c r="L127" s="154" t="s">
        <v>87</v>
      </c>
      <c r="M127" s="155">
        <v>0</v>
      </c>
      <c r="N127" s="155">
        <v>4</v>
      </c>
      <c r="O127" s="125">
        <v>200</v>
      </c>
      <c r="P127" s="124"/>
      <c r="Q127" s="120"/>
      <c r="R127" s="125" t="s">
        <v>19</v>
      </c>
      <c r="S127" s="101" t="s">
        <v>1299</v>
      </c>
    </row>
    <row r="128" s="92" customFormat="1" spans="1:19">
      <c r="A128" s="119"/>
      <c r="B128" s="119"/>
      <c r="C128" s="119"/>
      <c r="D128" s="120"/>
      <c r="E128" s="158"/>
      <c r="F128" s="158"/>
      <c r="G128" s="119"/>
      <c r="H128" s="119"/>
      <c r="I128" s="119"/>
      <c r="J128" s="119"/>
      <c r="K128" s="119"/>
      <c r="L128" s="154" t="s">
        <v>88</v>
      </c>
      <c r="M128" s="155">
        <f t="shared" ref="M128:M144" si="3">M127+N127</f>
        <v>4</v>
      </c>
      <c r="N128" s="155">
        <v>4</v>
      </c>
      <c r="O128" s="158"/>
      <c r="P128" s="124"/>
      <c r="Q128" s="120"/>
      <c r="R128" s="158"/>
      <c r="S128" s="101"/>
    </row>
    <row r="129" s="92" customFormat="1" spans="1:19">
      <c r="A129" s="119"/>
      <c r="B129" s="119"/>
      <c r="C129" s="119"/>
      <c r="D129" s="157" t="s">
        <v>1399</v>
      </c>
      <c r="E129" s="158"/>
      <c r="F129" s="158"/>
      <c r="G129" s="119"/>
      <c r="H129" s="119"/>
      <c r="I129" s="119"/>
      <c r="J129" s="119"/>
      <c r="K129" s="119"/>
      <c r="L129" s="161" t="s">
        <v>1405</v>
      </c>
      <c r="M129" s="155">
        <f t="shared" si="3"/>
        <v>8</v>
      </c>
      <c r="N129" s="155">
        <v>4</v>
      </c>
      <c r="O129" s="158"/>
      <c r="P129" s="124"/>
      <c r="Q129" s="157" t="s">
        <v>1400</v>
      </c>
      <c r="R129" s="158"/>
      <c r="S129" s="101"/>
    </row>
    <row r="130" s="92" customFormat="1" spans="1:19">
      <c r="A130" s="119"/>
      <c r="B130" s="119"/>
      <c r="C130" s="119"/>
      <c r="D130" s="157" t="s">
        <v>1399</v>
      </c>
      <c r="E130" s="158"/>
      <c r="F130" s="158"/>
      <c r="G130" s="119"/>
      <c r="H130" s="119"/>
      <c r="I130" s="119"/>
      <c r="J130" s="119"/>
      <c r="K130" s="119"/>
      <c r="L130" s="161" t="s">
        <v>44</v>
      </c>
      <c r="M130" s="155">
        <f t="shared" si="3"/>
        <v>12</v>
      </c>
      <c r="N130" s="155">
        <v>4</v>
      </c>
      <c r="O130" s="158"/>
      <c r="P130" s="124"/>
      <c r="Q130" s="157" t="s">
        <v>1400</v>
      </c>
      <c r="R130" s="158"/>
      <c r="S130" s="101"/>
    </row>
    <row r="131" s="92" customFormat="1" spans="1:19">
      <c r="A131" s="119"/>
      <c r="B131" s="119"/>
      <c r="C131" s="119"/>
      <c r="D131" s="157" t="s">
        <v>1399</v>
      </c>
      <c r="E131" s="158"/>
      <c r="F131" s="158"/>
      <c r="G131" s="119"/>
      <c r="H131" s="119"/>
      <c r="I131" s="119"/>
      <c r="J131" s="119"/>
      <c r="K131" s="119"/>
      <c r="L131" s="161" t="s">
        <v>47</v>
      </c>
      <c r="M131" s="155">
        <f t="shared" si="3"/>
        <v>16</v>
      </c>
      <c r="N131" s="155">
        <v>4</v>
      </c>
      <c r="O131" s="158"/>
      <c r="P131" s="124"/>
      <c r="Q131" s="157" t="s">
        <v>1400</v>
      </c>
      <c r="R131" s="158"/>
      <c r="S131" s="101"/>
    </row>
    <row r="132" s="92" customFormat="1" spans="1:19">
      <c r="A132" s="119"/>
      <c r="B132" s="119"/>
      <c r="C132" s="119"/>
      <c r="D132" s="157" t="s">
        <v>1399</v>
      </c>
      <c r="E132" s="158"/>
      <c r="F132" s="158"/>
      <c r="G132" s="119"/>
      <c r="H132" s="119"/>
      <c r="I132" s="119"/>
      <c r="J132" s="119"/>
      <c r="K132" s="119"/>
      <c r="L132" s="161" t="s">
        <v>45</v>
      </c>
      <c r="M132" s="155">
        <f t="shared" si="3"/>
        <v>20</v>
      </c>
      <c r="N132" s="155">
        <v>4</v>
      </c>
      <c r="O132" s="158"/>
      <c r="P132" s="124"/>
      <c r="Q132" s="157" t="s">
        <v>1400</v>
      </c>
      <c r="R132" s="158"/>
      <c r="S132" s="101"/>
    </row>
    <row r="133" s="92" customFormat="1" spans="1:19">
      <c r="A133" s="119"/>
      <c r="B133" s="119"/>
      <c r="C133" s="119"/>
      <c r="D133" s="120"/>
      <c r="E133" s="158"/>
      <c r="F133" s="158"/>
      <c r="G133" s="119"/>
      <c r="H133" s="119"/>
      <c r="I133" s="119"/>
      <c r="J133" s="119"/>
      <c r="K133" s="119"/>
      <c r="L133" s="154" t="s">
        <v>88</v>
      </c>
      <c r="M133" s="155">
        <f t="shared" si="3"/>
        <v>24</v>
      </c>
      <c r="N133" s="155">
        <v>4</v>
      </c>
      <c r="O133" s="158"/>
      <c r="P133" s="124"/>
      <c r="Q133" s="120"/>
      <c r="R133" s="158"/>
      <c r="S133" s="101"/>
    </row>
    <row r="134" s="92" customFormat="1" spans="1:19">
      <c r="A134" s="119"/>
      <c r="B134" s="119"/>
      <c r="C134" s="119"/>
      <c r="D134" s="157" t="s">
        <v>1399</v>
      </c>
      <c r="E134" s="158"/>
      <c r="F134" s="158"/>
      <c r="G134" s="119"/>
      <c r="H134" s="119"/>
      <c r="I134" s="119"/>
      <c r="J134" s="119"/>
      <c r="K134" s="119"/>
      <c r="L134" s="161" t="s">
        <v>1406</v>
      </c>
      <c r="M134" s="155">
        <f t="shared" si="3"/>
        <v>28</v>
      </c>
      <c r="N134" s="155">
        <v>4</v>
      </c>
      <c r="O134" s="158"/>
      <c r="P134" s="124"/>
      <c r="Q134" s="157" t="s">
        <v>1400</v>
      </c>
      <c r="R134" s="158"/>
      <c r="S134" s="101"/>
    </row>
    <row r="135" s="92" customFormat="1" spans="1:19">
      <c r="A135" s="119"/>
      <c r="B135" s="119"/>
      <c r="C135" s="119"/>
      <c r="D135" s="157" t="s">
        <v>1399</v>
      </c>
      <c r="E135" s="158"/>
      <c r="F135" s="158"/>
      <c r="G135" s="119"/>
      <c r="H135" s="119"/>
      <c r="I135" s="119"/>
      <c r="J135" s="119"/>
      <c r="K135" s="119"/>
      <c r="L135" s="161" t="s">
        <v>46</v>
      </c>
      <c r="M135" s="155">
        <f t="shared" si="3"/>
        <v>32</v>
      </c>
      <c r="N135" s="155">
        <v>4</v>
      </c>
      <c r="O135" s="158"/>
      <c r="P135" s="124"/>
      <c r="Q135" s="157" t="s">
        <v>1400</v>
      </c>
      <c r="R135" s="158"/>
      <c r="S135" s="101"/>
    </row>
    <row r="136" s="92" customFormat="1" spans="1:19">
      <c r="A136" s="119"/>
      <c r="B136" s="119"/>
      <c r="C136" s="119"/>
      <c r="D136" s="157" t="s">
        <v>1399</v>
      </c>
      <c r="E136" s="158"/>
      <c r="F136" s="158"/>
      <c r="G136" s="119"/>
      <c r="H136" s="119"/>
      <c r="I136" s="119"/>
      <c r="J136" s="119"/>
      <c r="K136" s="119"/>
      <c r="L136" s="161" t="s">
        <v>48</v>
      </c>
      <c r="M136" s="155">
        <f t="shared" si="3"/>
        <v>36</v>
      </c>
      <c r="N136" s="155">
        <v>4</v>
      </c>
      <c r="O136" s="158"/>
      <c r="P136" s="124"/>
      <c r="Q136" s="157" t="s">
        <v>1400</v>
      </c>
      <c r="R136" s="158"/>
      <c r="S136" s="101"/>
    </row>
    <row r="137" s="92" customFormat="1" spans="1:19">
      <c r="A137" s="119"/>
      <c r="B137" s="119"/>
      <c r="C137" s="119"/>
      <c r="D137" s="157" t="s">
        <v>1399</v>
      </c>
      <c r="E137" s="158"/>
      <c r="F137" s="158"/>
      <c r="G137" s="119"/>
      <c r="H137" s="119"/>
      <c r="I137" s="119"/>
      <c r="J137" s="119"/>
      <c r="K137" s="119"/>
      <c r="L137" s="161" t="s">
        <v>1407</v>
      </c>
      <c r="M137" s="155">
        <f t="shared" si="3"/>
        <v>40</v>
      </c>
      <c r="N137" s="155">
        <v>4</v>
      </c>
      <c r="O137" s="158"/>
      <c r="P137" s="124"/>
      <c r="Q137" s="157" t="s">
        <v>1400</v>
      </c>
      <c r="R137" s="158"/>
      <c r="S137" s="101"/>
    </row>
    <row r="138" s="92" customFormat="1" spans="1:19">
      <c r="A138" s="119"/>
      <c r="B138" s="119"/>
      <c r="C138" s="119"/>
      <c r="D138" s="120"/>
      <c r="E138" s="158"/>
      <c r="F138" s="158"/>
      <c r="G138" s="119"/>
      <c r="H138" s="119"/>
      <c r="I138" s="119"/>
      <c r="J138" s="119"/>
      <c r="K138" s="119"/>
      <c r="L138" s="154" t="s">
        <v>88</v>
      </c>
      <c r="M138" s="155">
        <f t="shared" si="3"/>
        <v>44</v>
      </c>
      <c r="N138" s="155">
        <v>4</v>
      </c>
      <c r="O138" s="158"/>
      <c r="P138" s="124"/>
      <c r="Q138" s="120"/>
      <c r="R138" s="158"/>
      <c r="S138" s="101"/>
    </row>
    <row r="139" s="92" customFormat="1" spans="1:19">
      <c r="A139" s="119"/>
      <c r="B139" s="119"/>
      <c r="C139" s="119"/>
      <c r="D139" s="157" t="s">
        <v>1399</v>
      </c>
      <c r="E139" s="158"/>
      <c r="F139" s="158"/>
      <c r="G139" s="119"/>
      <c r="H139" s="119"/>
      <c r="I139" s="119"/>
      <c r="J139" s="119"/>
      <c r="K139" s="119"/>
      <c r="L139" s="161" t="s">
        <v>1408</v>
      </c>
      <c r="M139" s="155">
        <f t="shared" si="3"/>
        <v>48</v>
      </c>
      <c r="N139" s="155">
        <v>4</v>
      </c>
      <c r="O139" s="158"/>
      <c r="P139" s="124"/>
      <c r="Q139" s="157" t="s">
        <v>1400</v>
      </c>
      <c r="R139" s="158"/>
      <c r="S139" s="101"/>
    </row>
    <row r="140" s="92" customFormat="1" spans="1:19">
      <c r="A140" s="119"/>
      <c r="B140" s="119"/>
      <c r="C140" s="119"/>
      <c r="D140" s="157" t="s">
        <v>1399</v>
      </c>
      <c r="E140" s="158"/>
      <c r="F140" s="158"/>
      <c r="G140" s="119"/>
      <c r="H140" s="119"/>
      <c r="I140" s="119"/>
      <c r="J140" s="119"/>
      <c r="K140" s="119"/>
      <c r="L140" s="161" t="s">
        <v>1409</v>
      </c>
      <c r="M140" s="155">
        <f t="shared" si="3"/>
        <v>52</v>
      </c>
      <c r="N140" s="155">
        <v>4</v>
      </c>
      <c r="O140" s="158"/>
      <c r="P140" s="124"/>
      <c r="Q140" s="157" t="s">
        <v>1400</v>
      </c>
      <c r="R140" s="158"/>
      <c r="S140" s="101"/>
    </row>
    <row r="141" s="92" customFormat="1" spans="1:19">
      <c r="A141" s="119"/>
      <c r="B141" s="119"/>
      <c r="C141" s="119"/>
      <c r="D141" s="157" t="s">
        <v>1399</v>
      </c>
      <c r="E141" s="158"/>
      <c r="F141" s="158"/>
      <c r="G141" s="119"/>
      <c r="H141" s="119"/>
      <c r="I141" s="119"/>
      <c r="J141" s="119"/>
      <c r="K141" s="119"/>
      <c r="L141" s="161" t="s">
        <v>1252</v>
      </c>
      <c r="M141" s="155">
        <f t="shared" si="3"/>
        <v>56</v>
      </c>
      <c r="N141" s="155">
        <v>4</v>
      </c>
      <c r="O141" s="158"/>
      <c r="P141" s="124"/>
      <c r="Q141" s="157" t="s">
        <v>1400</v>
      </c>
      <c r="R141" s="158"/>
      <c r="S141" s="101"/>
    </row>
    <row r="142" s="92" customFormat="1" spans="1:19">
      <c r="A142" s="119"/>
      <c r="B142" s="119"/>
      <c r="C142" s="119"/>
      <c r="D142" s="157" t="s">
        <v>1399</v>
      </c>
      <c r="E142" s="158"/>
      <c r="F142" s="158"/>
      <c r="G142" s="119"/>
      <c r="H142" s="119"/>
      <c r="I142" s="119"/>
      <c r="J142" s="119"/>
      <c r="K142" s="119"/>
      <c r="L142" s="161" t="s">
        <v>1251</v>
      </c>
      <c r="M142" s="155">
        <f t="shared" si="3"/>
        <v>60</v>
      </c>
      <c r="N142" s="155">
        <v>4</v>
      </c>
      <c r="O142" s="158"/>
      <c r="P142" s="124"/>
      <c r="Q142" s="157" t="s">
        <v>1400</v>
      </c>
      <c r="R142" s="158"/>
      <c r="S142" s="101"/>
    </row>
    <row r="143" s="92" customFormat="1" spans="1:19">
      <c r="A143" s="119"/>
      <c r="B143" s="119"/>
      <c r="C143" s="119"/>
      <c r="D143" s="120"/>
      <c r="E143" s="158"/>
      <c r="F143" s="158"/>
      <c r="G143" s="119"/>
      <c r="H143" s="119"/>
      <c r="I143" s="119"/>
      <c r="J143" s="119"/>
      <c r="K143" s="119"/>
      <c r="L143" s="154" t="s">
        <v>88</v>
      </c>
      <c r="M143" s="155">
        <f t="shared" si="3"/>
        <v>64</v>
      </c>
      <c r="N143" s="155">
        <v>4</v>
      </c>
      <c r="O143" s="158"/>
      <c r="P143" s="124"/>
      <c r="Q143" s="120"/>
      <c r="R143" s="158"/>
      <c r="S143" s="101"/>
    </row>
    <row r="144" s="92" customFormat="1" spans="1:19">
      <c r="A144" s="119"/>
      <c r="B144" s="119"/>
      <c r="C144" s="119"/>
      <c r="D144" s="157" t="s">
        <v>1399</v>
      </c>
      <c r="E144" s="158"/>
      <c r="F144" s="158"/>
      <c r="G144" s="119"/>
      <c r="H144" s="119"/>
      <c r="I144" s="119"/>
      <c r="J144" s="119"/>
      <c r="K144" s="119"/>
      <c r="L144" s="161" t="s">
        <v>1410</v>
      </c>
      <c r="M144" s="155">
        <f t="shared" si="3"/>
        <v>68</v>
      </c>
      <c r="N144" s="155">
        <v>4</v>
      </c>
      <c r="O144" s="158"/>
      <c r="P144" s="124"/>
      <c r="Q144" s="157" t="s">
        <v>1400</v>
      </c>
      <c r="R144" s="158"/>
      <c r="S144" s="101"/>
    </row>
    <row r="145" s="93" customFormat="1" spans="1:19">
      <c r="A145" s="131" t="s">
        <v>1412</v>
      </c>
      <c r="B145" s="131" t="s">
        <v>1413</v>
      </c>
      <c r="C145" s="131" t="s">
        <v>1414</v>
      </c>
      <c r="D145" s="132"/>
      <c r="E145" s="131" t="s">
        <v>1415</v>
      </c>
      <c r="F145" s="131" t="s">
        <v>1416</v>
      </c>
      <c r="G145" s="131" t="s">
        <v>1345</v>
      </c>
      <c r="H145" s="131" t="s">
        <v>1417</v>
      </c>
      <c r="I145" s="131" t="s">
        <v>1418</v>
      </c>
      <c r="J145" s="131">
        <v>8017</v>
      </c>
      <c r="K145" s="131" t="s">
        <v>1419</v>
      </c>
      <c r="L145" s="162" t="s">
        <v>87</v>
      </c>
      <c r="M145" s="163">
        <v>0</v>
      </c>
      <c r="N145" s="163">
        <v>4</v>
      </c>
      <c r="O145" s="131">
        <v>10</v>
      </c>
      <c r="P145" s="136"/>
      <c r="Q145" s="132"/>
      <c r="R145" s="131" t="s">
        <v>1416</v>
      </c>
      <c r="S145" s="132"/>
    </row>
    <row r="146" s="93" customFormat="1" spans="1:19">
      <c r="A146" s="135"/>
      <c r="B146" s="135"/>
      <c r="C146" s="135"/>
      <c r="D146" s="132"/>
      <c r="E146" s="135"/>
      <c r="F146" s="135"/>
      <c r="G146" s="135"/>
      <c r="H146" s="135"/>
      <c r="I146" s="135"/>
      <c r="J146" s="135"/>
      <c r="K146" s="135"/>
      <c r="L146" s="162" t="s">
        <v>88</v>
      </c>
      <c r="M146" s="163">
        <v>4</v>
      </c>
      <c r="N146" s="163">
        <v>4</v>
      </c>
      <c r="O146" s="135"/>
      <c r="P146" s="138"/>
      <c r="Q146" s="132"/>
      <c r="R146" s="135"/>
      <c r="S146" s="132"/>
    </row>
    <row r="147" s="93" customFormat="1" ht="28.8" spans="1:19">
      <c r="A147" s="135"/>
      <c r="B147" s="135"/>
      <c r="C147" s="135"/>
      <c r="D147" s="132" t="s">
        <v>202</v>
      </c>
      <c r="E147" s="135"/>
      <c r="F147" s="135"/>
      <c r="G147" s="135"/>
      <c r="H147" s="135"/>
      <c r="I147" s="135"/>
      <c r="J147" s="135"/>
      <c r="K147" s="135"/>
      <c r="L147" s="164" t="s">
        <v>1260</v>
      </c>
      <c r="M147" s="163">
        <v>8</v>
      </c>
      <c r="N147" s="163">
        <v>4</v>
      </c>
      <c r="O147" s="135"/>
      <c r="P147" s="138"/>
      <c r="Q147" s="132" t="s">
        <v>1420</v>
      </c>
      <c r="R147" s="135"/>
      <c r="S147" s="132"/>
    </row>
    <row r="148" s="93" customFormat="1" ht="28.8" spans="1:19">
      <c r="A148" s="135"/>
      <c r="B148" s="135"/>
      <c r="C148" s="135"/>
      <c r="D148" s="165" t="s">
        <v>202</v>
      </c>
      <c r="E148" s="135"/>
      <c r="F148" s="135"/>
      <c r="G148" s="135"/>
      <c r="H148" s="135"/>
      <c r="I148" s="135"/>
      <c r="J148" s="135"/>
      <c r="K148" s="135"/>
      <c r="L148" s="164" t="s">
        <v>1248</v>
      </c>
      <c r="M148" s="163">
        <f t="shared" ref="M148:M154" si="4">M147+N147</f>
        <v>12</v>
      </c>
      <c r="N148" s="163">
        <v>4</v>
      </c>
      <c r="O148" s="135"/>
      <c r="P148" s="138"/>
      <c r="Q148" s="132" t="s">
        <v>1420</v>
      </c>
      <c r="R148" s="135"/>
      <c r="S148" s="132"/>
    </row>
    <row r="149" s="93" customFormat="1" ht="28.8" spans="1:19">
      <c r="A149" s="135"/>
      <c r="B149" s="135"/>
      <c r="C149" s="135"/>
      <c r="D149" s="165" t="s">
        <v>202</v>
      </c>
      <c r="E149" s="135"/>
      <c r="F149" s="135"/>
      <c r="G149" s="135"/>
      <c r="H149" s="135"/>
      <c r="I149" s="135"/>
      <c r="J149" s="135"/>
      <c r="K149" s="135"/>
      <c r="L149" s="164" t="s">
        <v>1421</v>
      </c>
      <c r="M149" s="163">
        <f t="shared" si="4"/>
        <v>16</v>
      </c>
      <c r="N149" s="163">
        <v>4</v>
      </c>
      <c r="O149" s="135"/>
      <c r="P149" s="138"/>
      <c r="Q149" s="132" t="s">
        <v>1420</v>
      </c>
      <c r="R149" s="135"/>
      <c r="S149" s="132"/>
    </row>
    <row r="150" s="93" customFormat="1" spans="1:19">
      <c r="A150" s="131" t="s">
        <v>1422</v>
      </c>
      <c r="B150" s="131" t="s">
        <v>1423</v>
      </c>
      <c r="C150" s="131" t="s">
        <v>1424</v>
      </c>
      <c r="D150" s="132"/>
      <c r="E150" s="131" t="s">
        <v>1415</v>
      </c>
      <c r="F150" s="131" t="s">
        <v>1416</v>
      </c>
      <c r="G150" s="131" t="s">
        <v>1345</v>
      </c>
      <c r="H150" s="131" t="s">
        <v>1425</v>
      </c>
      <c r="I150" s="131" t="s">
        <v>1418</v>
      </c>
      <c r="J150" s="131">
        <v>8018</v>
      </c>
      <c r="K150" s="131" t="s">
        <v>1419</v>
      </c>
      <c r="L150" s="162" t="s">
        <v>87</v>
      </c>
      <c r="M150" s="163">
        <v>0</v>
      </c>
      <c r="N150" s="163">
        <v>4</v>
      </c>
      <c r="O150" s="131">
        <v>10</v>
      </c>
      <c r="P150" s="136"/>
      <c r="Q150" s="132"/>
      <c r="R150" s="131" t="s">
        <v>1416</v>
      </c>
      <c r="S150" s="132"/>
    </row>
    <row r="151" s="93" customFormat="1" spans="1:19">
      <c r="A151" s="135"/>
      <c r="B151" s="135"/>
      <c r="C151" s="135"/>
      <c r="D151" s="132"/>
      <c r="E151" s="135"/>
      <c r="F151" s="135"/>
      <c r="G151" s="135"/>
      <c r="H151" s="135"/>
      <c r="I151" s="135"/>
      <c r="J151" s="135"/>
      <c r="K151" s="135"/>
      <c r="L151" s="162" t="s">
        <v>88</v>
      </c>
      <c r="M151" s="163">
        <v>4</v>
      </c>
      <c r="N151" s="163">
        <v>4</v>
      </c>
      <c r="O151" s="135"/>
      <c r="P151" s="138"/>
      <c r="Q151" s="132"/>
      <c r="R151" s="135"/>
      <c r="S151" s="132"/>
    </row>
    <row r="152" s="93" customFormat="1" ht="28.8" spans="1:19">
      <c r="A152" s="135"/>
      <c r="B152" s="135"/>
      <c r="C152" s="135"/>
      <c r="D152" s="132" t="s">
        <v>202</v>
      </c>
      <c r="E152" s="135"/>
      <c r="F152" s="135"/>
      <c r="G152" s="135"/>
      <c r="H152" s="135"/>
      <c r="I152" s="135"/>
      <c r="J152" s="135"/>
      <c r="K152" s="135"/>
      <c r="L152" s="164" t="s">
        <v>1281</v>
      </c>
      <c r="M152" s="163">
        <v>8</v>
      </c>
      <c r="N152" s="163">
        <v>4</v>
      </c>
      <c r="O152" s="135"/>
      <c r="P152" s="138"/>
      <c r="Q152" s="132" t="s">
        <v>1420</v>
      </c>
      <c r="R152" s="135"/>
      <c r="S152" s="132"/>
    </row>
    <row r="153" s="93" customFormat="1" ht="28.8" spans="1:19">
      <c r="A153" s="135"/>
      <c r="B153" s="135"/>
      <c r="C153" s="135"/>
      <c r="D153" s="165" t="s">
        <v>202</v>
      </c>
      <c r="E153" s="135"/>
      <c r="F153" s="135"/>
      <c r="G153" s="135"/>
      <c r="H153" s="135"/>
      <c r="I153" s="135"/>
      <c r="J153" s="135"/>
      <c r="K153" s="135"/>
      <c r="L153" s="164" t="s">
        <v>1249</v>
      </c>
      <c r="M153" s="163">
        <f t="shared" si="4"/>
        <v>12</v>
      </c>
      <c r="N153" s="163">
        <v>4</v>
      </c>
      <c r="O153" s="135"/>
      <c r="P153" s="138"/>
      <c r="Q153" s="132" t="s">
        <v>1420</v>
      </c>
      <c r="R153" s="135"/>
      <c r="S153" s="132"/>
    </row>
    <row r="154" s="93" customFormat="1" ht="26" customHeight="1" spans="1:19">
      <c r="A154" s="135"/>
      <c r="B154" s="135"/>
      <c r="C154" s="135"/>
      <c r="D154" s="165" t="s">
        <v>202</v>
      </c>
      <c r="E154" s="135"/>
      <c r="F154" s="135"/>
      <c r="G154" s="135"/>
      <c r="H154" s="135"/>
      <c r="I154" s="135"/>
      <c r="J154" s="135"/>
      <c r="K154" s="135"/>
      <c r="L154" s="164" t="s">
        <v>1426</v>
      </c>
      <c r="M154" s="163">
        <f t="shared" si="4"/>
        <v>16</v>
      </c>
      <c r="N154" s="163">
        <v>4</v>
      </c>
      <c r="O154" s="135"/>
      <c r="P154" s="138"/>
      <c r="Q154" s="132" t="s">
        <v>1420</v>
      </c>
      <c r="R154" s="135"/>
      <c r="S154" s="132"/>
    </row>
    <row r="155" s="93" customFormat="1" spans="1:19">
      <c r="A155" s="131" t="s">
        <v>1427</v>
      </c>
      <c r="B155" s="131" t="s">
        <v>1428</v>
      </c>
      <c r="C155" s="131" t="s">
        <v>1429</v>
      </c>
      <c r="D155" s="132"/>
      <c r="E155" s="131" t="s">
        <v>1415</v>
      </c>
      <c r="F155" s="131" t="s">
        <v>1416</v>
      </c>
      <c r="G155" s="131" t="s">
        <v>1345</v>
      </c>
      <c r="H155" s="131" t="s">
        <v>1430</v>
      </c>
      <c r="I155" s="131" t="s">
        <v>1418</v>
      </c>
      <c r="J155" s="131">
        <v>8019</v>
      </c>
      <c r="K155" s="131" t="s">
        <v>1419</v>
      </c>
      <c r="L155" s="162" t="s">
        <v>87</v>
      </c>
      <c r="M155" s="163">
        <v>0</v>
      </c>
      <c r="N155" s="163">
        <v>4</v>
      </c>
      <c r="O155" s="131">
        <v>10</v>
      </c>
      <c r="P155" s="136"/>
      <c r="Q155" s="132"/>
      <c r="R155" s="131" t="s">
        <v>1416</v>
      </c>
      <c r="S155" s="132"/>
    </row>
    <row r="156" s="93" customFormat="1" spans="1:19">
      <c r="A156" s="135"/>
      <c r="B156" s="135"/>
      <c r="C156" s="135"/>
      <c r="D156" s="132"/>
      <c r="E156" s="135"/>
      <c r="F156" s="135"/>
      <c r="G156" s="135"/>
      <c r="H156" s="135"/>
      <c r="I156" s="135"/>
      <c r="J156" s="135"/>
      <c r="K156" s="135"/>
      <c r="L156" s="162" t="s">
        <v>88</v>
      </c>
      <c r="M156" s="163">
        <v>4</v>
      </c>
      <c r="N156" s="163">
        <v>4</v>
      </c>
      <c r="O156" s="135"/>
      <c r="P156" s="138"/>
      <c r="Q156" s="132"/>
      <c r="R156" s="135"/>
      <c r="S156" s="132"/>
    </row>
    <row r="157" s="93" customFormat="1" ht="28.8" spans="1:19">
      <c r="A157" s="135"/>
      <c r="B157" s="135"/>
      <c r="C157" s="135"/>
      <c r="D157" s="132" t="s">
        <v>202</v>
      </c>
      <c r="E157" s="135"/>
      <c r="F157" s="135"/>
      <c r="G157" s="135"/>
      <c r="H157" s="135"/>
      <c r="I157" s="135"/>
      <c r="J157" s="135"/>
      <c r="K157" s="135"/>
      <c r="L157" s="164" t="s">
        <v>1282</v>
      </c>
      <c r="M157" s="163">
        <v>8</v>
      </c>
      <c r="N157" s="163">
        <v>4</v>
      </c>
      <c r="O157" s="135"/>
      <c r="P157" s="138"/>
      <c r="Q157" s="132" t="s">
        <v>1420</v>
      </c>
      <c r="R157" s="135"/>
      <c r="S157" s="132"/>
    </row>
    <row r="158" s="93" customFormat="1" ht="28.8" spans="1:19">
      <c r="A158" s="135"/>
      <c r="B158" s="135"/>
      <c r="C158" s="135"/>
      <c r="D158" s="165" t="s">
        <v>202</v>
      </c>
      <c r="E158" s="135"/>
      <c r="F158" s="135"/>
      <c r="G158" s="135"/>
      <c r="H158" s="135"/>
      <c r="I158" s="135"/>
      <c r="J158" s="135"/>
      <c r="K158" s="135"/>
      <c r="L158" s="164" t="s">
        <v>1431</v>
      </c>
      <c r="M158" s="163">
        <f>M157+N157</f>
        <v>12</v>
      </c>
      <c r="N158" s="163">
        <v>4</v>
      </c>
      <c r="O158" s="135"/>
      <c r="P158" s="138"/>
      <c r="Q158" s="132" t="s">
        <v>1420</v>
      </c>
      <c r="R158" s="135"/>
      <c r="S158" s="132"/>
    </row>
    <row r="159" s="93" customFormat="1" ht="28.8" spans="1:19">
      <c r="A159" s="135"/>
      <c r="B159" s="135"/>
      <c r="C159" s="135"/>
      <c r="D159" s="165" t="s">
        <v>202</v>
      </c>
      <c r="E159" s="135"/>
      <c r="F159" s="135"/>
      <c r="G159" s="135"/>
      <c r="H159" s="135"/>
      <c r="I159" s="135"/>
      <c r="J159" s="135"/>
      <c r="K159" s="135"/>
      <c r="L159" s="164" t="s">
        <v>1432</v>
      </c>
      <c r="M159" s="163">
        <f>M158+N158</f>
        <v>16</v>
      </c>
      <c r="N159" s="163">
        <v>4</v>
      </c>
      <c r="O159" s="135"/>
      <c r="P159" s="138"/>
      <c r="Q159" s="132" t="s">
        <v>1420</v>
      </c>
      <c r="R159" s="135"/>
      <c r="S159" s="132"/>
    </row>
    <row r="160" s="92" customFormat="1" ht="23" customHeight="1" spans="1:19">
      <c r="A160" s="166" t="s">
        <v>1433</v>
      </c>
      <c r="B160" s="166" t="s">
        <v>1434</v>
      </c>
      <c r="C160" s="166" t="s">
        <v>1435</v>
      </c>
      <c r="D160" s="166"/>
      <c r="E160" s="166" t="s">
        <v>1415</v>
      </c>
      <c r="F160" s="166" t="s">
        <v>1416</v>
      </c>
      <c r="G160" s="166" t="s">
        <v>1345</v>
      </c>
      <c r="H160" s="166" t="s">
        <v>1436</v>
      </c>
      <c r="I160" s="166" t="s">
        <v>1418</v>
      </c>
      <c r="J160" s="166">
        <v>7087</v>
      </c>
      <c r="K160" s="166" t="s">
        <v>1264</v>
      </c>
      <c r="L160" s="167" t="s">
        <v>87</v>
      </c>
      <c r="M160" s="167">
        <v>0</v>
      </c>
      <c r="N160" s="167">
        <v>4</v>
      </c>
      <c r="O160" s="168">
        <v>100</v>
      </c>
      <c r="P160" s="166" t="s">
        <v>1437</v>
      </c>
      <c r="Q160" s="169"/>
      <c r="R160" s="166" t="s">
        <v>1416</v>
      </c>
      <c r="S160" s="94"/>
    </row>
    <row r="161" s="92" customFormat="1" ht="23" customHeight="1" spans="1:19">
      <c r="A161" s="166"/>
      <c r="B161" s="166"/>
      <c r="C161" s="166"/>
      <c r="D161" s="170"/>
      <c r="E161" s="166"/>
      <c r="F161" s="166"/>
      <c r="G161" s="166"/>
      <c r="H161" s="166"/>
      <c r="I161" s="166"/>
      <c r="J161" s="166"/>
      <c r="K161" s="166"/>
      <c r="L161" s="167" t="s">
        <v>88</v>
      </c>
      <c r="M161" s="167">
        <f t="shared" ref="M161:M198" si="5">M160+N160</f>
        <v>4</v>
      </c>
      <c r="N161" s="167">
        <v>4</v>
      </c>
      <c r="O161" s="168"/>
      <c r="P161" s="166"/>
      <c r="Q161" s="171"/>
      <c r="R161" s="166"/>
      <c r="S161" s="94"/>
    </row>
    <row r="162" s="92" customFormat="1" ht="23" customHeight="1" spans="1:19">
      <c r="A162" s="166"/>
      <c r="B162" s="166"/>
      <c r="C162" s="166"/>
      <c r="D162" s="170"/>
      <c r="E162" s="166"/>
      <c r="F162" s="166"/>
      <c r="G162" s="166"/>
      <c r="H162" s="166"/>
      <c r="I162" s="166"/>
      <c r="J162" s="166"/>
      <c r="K162" s="166"/>
      <c r="L162" s="167" t="s">
        <v>1265</v>
      </c>
      <c r="M162" s="167">
        <f t="shared" si="5"/>
        <v>8</v>
      </c>
      <c r="N162" s="167">
        <v>4</v>
      </c>
      <c r="O162" s="168"/>
      <c r="P162" s="166"/>
      <c r="Q162" s="171"/>
      <c r="R162" s="166"/>
      <c r="S162" s="94"/>
    </row>
    <row r="163" s="92" customFormat="1" ht="23" customHeight="1" spans="1:19">
      <c r="A163" s="166"/>
      <c r="B163" s="166"/>
      <c r="C163" s="166"/>
      <c r="D163" s="170" t="s">
        <v>202</v>
      </c>
      <c r="E163" s="166"/>
      <c r="F163" s="166"/>
      <c r="G163" s="166"/>
      <c r="H163" s="166"/>
      <c r="I163" s="166"/>
      <c r="J163" s="166"/>
      <c r="K163" s="166"/>
      <c r="L163" s="167" t="s">
        <v>1247</v>
      </c>
      <c r="M163" s="167">
        <f t="shared" si="5"/>
        <v>12</v>
      </c>
      <c r="N163" s="167">
        <v>4</v>
      </c>
      <c r="O163" s="168"/>
      <c r="P163" s="166"/>
      <c r="Q163" s="171" t="s">
        <v>1420</v>
      </c>
      <c r="R163" s="166"/>
      <c r="S163" s="94"/>
    </row>
    <row r="164" s="92" customFormat="1" ht="23" customHeight="1" spans="1:19">
      <c r="A164" s="166"/>
      <c r="B164" s="166"/>
      <c r="C164" s="166"/>
      <c r="D164" s="170"/>
      <c r="E164" s="166"/>
      <c r="F164" s="166"/>
      <c r="G164" s="166"/>
      <c r="H164" s="166"/>
      <c r="I164" s="166"/>
      <c r="J164" s="166"/>
      <c r="K164" s="166"/>
      <c r="L164" s="167" t="s">
        <v>1266</v>
      </c>
      <c r="M164" s="167">
        <f t="shared" si="5"/>
        <v>16</v>
      </c>
      <c r="N164" s="167">
        <v>4</v>
      </c>
      <c r="O164" s="168"/>
      <c r="P164" s="166"/>
      <c r="Q164" s="171"/>
      <c r="R164" s="166"/>
      <c r="S164" s="94"/>
    </row>
    <row r="165" s="92" customFormat="1" ht="23" customHeight="1" spans="1:19">
      <c r="A165" s="166"/>
      <c r="B165" s="166"/>
      <c r="C165" s="166"/>
      <c r="D165" s="170"/>
      <c r="E165" s="166"/>
      <c r="F165" s="166"/>
      <c r="G165" s="166"/>
      <c r="H165" s="166"/>
      <c r="I165" s="166"/>
      <c r="J165" s="166"/>
      <c r="K165" s="166"/>
      <c r="L165" s="167" t="s">
        <v>1267</v>
      </c>
      <c r="M165" s="167">
        <f t="shared" si="5"/>
        <v>20</v>
      </c>
      <c r="N165" s="167">
        <v>4</v>
      </c>
      <c r="O165" s="168"/>
      <c r="P165" s="166"/>
      <c r="Q165" s="171"/>
      <c r="R165" s="166"/>
      <c r="S165" s="94"/>
    </row>
    <row r="166" s="92" customFormat="1" ht="23" customHeight="1" spans="1:19">
      <c r="A166" s="166"/>
      <c r="B166" s="166"/>
      <c r="C166" s="166"/>
      <c r="D166" s="170"/>
      <c r="E166" s="166"/>
      <c r="F166" s="166"/>
      <c r="G166" s="166"/>
      <c r="H166" s="166"/>
      <c r="I166" s="166"/>
      <c r="J166" s="166"/>
      <c r="K166" s="166"/>
      <c r="L166" s="167" t="s">
        <v>88</v>
      </c>
      <c r="M166" s="167">
        <f t="shared" si="5"/>
        <v>24</v>
      </c>
      <c r="N166" s="167">
        <v>4</v>
      </c>
      <c r="O166" s="168"/>
      <c r="P166" s="166"/>
      <c r="Q166" s="171"/>
      <c r="R166" s="166"/>
      <c r="S166" s="94"/>
    </row>
    <row r="167" s="92" customFormat="1" ht="23" customHeight="1" spans="1:19">
      <c r="A167" s="166"/>
      <c r="B167" s="166"/>
      <c r="C167" s="166"/>
      <c r="D167" s="170"/>
      <c r="E167" s="166"/>
      <c r="F167" s="166"/>
      <c r="G167" s="166"/>
      <c r="H167" s="166"/>
      <c r="I167" s="166"/>
      <c r="J167" s="166"/>
      <c r="K167" s="166"/>
      <c r="L167" s="167" t="s">
        <v>1268</v>
      </c>
      <c r="M167" s="167">
        <f t="shared" si="5"/>
        <v>28</v>
      </c>
      <c r="N167" s="167">
        <v>4</v>
      </c>
      <c r="O167" s="168"/>
      <c r="P167" s="166"/>
      <c r="Q167" s="171"/>
      <c r="R167" s="166"/>
      <c r="S167" s="94"/>
    </row>
    <row r="168" s="92" customFormat="1" ht="23" customHeight="1" spans="1:19">
      <c r="A168" s="166"/>
      <c r="B168" s="166"/>
      <c r="C168" s="166"/>
      <c r="D168" s="170"/>
      <c r="E168" s="166"/>
      <c r="F168" s="166"/>
      <c r="G168" s="166"/>
      <c r="H168" s="166"/>
      <c r="I168" s="166"/>
      <c r="J168" s="166"/>
      <c r="K168" s="166"/>
      <c r="L168" s="167" t="s">
        <v>1269</v>
      </c>
      <c r="M168" s="167">
        <f t="shared" si="5"/>
        <v>32</v>
      </c>
      <c r="N168" s="167">
        <v>4</v>
      </c>
      <c r="O168" s="168"/>
      <c r="P168" s="166"/>
      <c r="Q168" s="171"/>
      <c r="R168" s="166"/>
      <c r="S168" s="94"/>
    </row>
    <row r="169" s="92" customFormat="1" ht="23" customHeight="1" spans="1:19">
      <c r="A169" s="166"/>
      <c r="B169" s="166"/>
      <c r="C169" s="166"/>
      <c r="D169" s="170" t="s">
        <v>202</v>
      </c>
      <c r="E169" s="166"/>
      <c r="F169" s="166"/>
      <c r="G169" s="166"/>
      <c r="H169" s="166"/>
      <c r="I169" s="166"/>
      <c r="J169" s="166"/>
      <c r="K169" s="166"/>
      <c r="L169" s="167" t="s">
        <v>1270</v>
      </c>
      <c r="M169" s="167">
        <f t="shared" si="5"/>
        <v>36</v>
      </c>
      <c r="N169" s="167">
        <v>4</v>
      </c>
      <c r="O169" s="168"/>
      <c r="P169" s="166"/>
      <c r="Q169" s="171" t="s">
        <v>1420</v>
      </c>
      <c r="R169" s="166"/>
      <c r="S169" s="94"/>
    </row>
    <row r="170" s="92" customFormat="1" ht="23" customHeight="1" spans="1:19">
      <c r="A170" s="166"/>
      <c r="B170" s="166"/>
      <c r="C170" s="166"/>
      <c r="D170" s="170" t="s">
        <v>202</v>
      </c>
      <c r="E170" s="166"/>
      <c r="F170" s="166"/>
      <c r="G170" s="166"/>
      <c r="H170" s="166"/>
      <c r="I170" s="166"/>
      <c r="J170" s="166"/>
      <c r="K170" s="166"/>
      <c r="L170" s="167" t="s">
        <v>1271</v>
      </c>
      <c r="M170" s="167">
        <f t="shared" si="5"/>
        <v>40</v>
      </c>
      <c r="N170" s="167">
        <v>4</v>
      </c>
      <c r="O170" s="168"/>
      <c r="P170" s="166"/>
      <c r="Q170" s="171" t="s">
        <v>1420</v>
      </c>
      <c r="R170" s="166"/>
      <c r="S170" s="94"/>
    </row>
    <row r="171" s="92" customFormat="1" ht="23" customHeight="1" spans="1:19">
      <c r="A171" s="166"/>
      <c r="B171" s="166"/>
      <c r="C171" s="166"/>
      <c r="D171" s="170"/>
      <c r="E171" s="166"/>
      <c r="F171" s="166"/>
      <c r="G171" s="166"/>
      <c r="H171" s="166"/>
      <c r="I171" s="166"/>
      <c r="J171" s="166"/>
      <c r="K171" s="166"/>
      <c r="L171" s="167" t="s">
        <v>88</v>
      </c>
      <c r="M171" s="167">
        <f t="shared" si="5"/>
        <v>44</v>
      </c>
      <c r="N171" s="167">
        <v>4</v>
      </c>
      <c r="O171" s="168"/>
      <c r="P171" s="166"/>
      <c r="Q171" s="171"/>
      <c r="R171" s="166"/>
      <c r="S171" s="94"/>
    </row>
    <row r="172" s="92" customFormat="1" ht="23" customHeight="1" spans="1:19">
      <c r="A172" s="166"/>
      <c r="B172" s="166"/>
      <c r="C172" s="166"/>
      <c r="D172" s="170"/>
      <c r="E172" s="166"/>
      <c r="F172" s="166"/>
      <c r="G172" s="166"/>
      <c r="H172" s="166"/>
      <c r="I172" s="166"/>
      <c r="J172" s="166"/>
      <c r="K172" s="166"/>
      <c r="L172" s="167" t="s">
        <v>1272</v>
      </c>
      <c r="M172" s="167">
        <f t="shared" si="5"/>
        <v>48</v>
      </c>
      <c r="N172" s="167">
        <v>4</v>
      </c>
      <c r="O172" s="168"/>
      <c r="P172" s="166"/>
      <c r="Q172" s="171"/>
      <c r="R172" s="166"/>
      <c r="S172" s="94"/>
    </row>
    <row r="173" s="92" customFormat="1" ht="23" customHeight="1" spans="1:19">
      <c r="A173" s="166"/>
      <c r="B173" s="166"/>
      <c r="C173" s="166"/>
      <c r="D173" s="170"/>
      <c r="E173" s="166"/>
      <c r="F173" s="166"/>
      <c r="G173" s="166"/>
      <c r="H173" s="166"/>
      <c r="I173" s="166"/>
      <c r="J173" s="166"/>
      <c r="K173" s="166"/>
      <c r="L173" s="167" t="s">
        <v>1273</v>
      </c>
      <c r="M173" s="167">
        <f t="shared" si="5"/>
        <v>52</v>
      </c>
      <c r="N173" s="167">
        <v>4</v>
      </c>
      <c r="O173" s="168"/>
      <c r="P173" s="166"/>
      <c r="Q173" s="171"/>
      <c r="R173" s="166"/>
      <c r="S173" s="94"/>
    </row>
    <row r="174" s="92" customFormat="1" ht="23" customHeight="1" spans="1:19">
      <c r="A174" s="166"/>
      <c r="B174" s="166"/>
      <c r="C174" s="166"/>
      <c r="D174" s="170"/>
      <c r="E174" s="166"/>
      <c r="F174" s="166"/>
      <c r="G174" s="166"/>
      <c r="H174" s="166"/>
      <c r="I174" s="166"/>
      <c r="J174" s="166"/>
      <c r="K174" s="166"/>
      <c r="L174" s="167" t="s">
        <v>1274</v>
      </c>
      <c r="M174" s="167">
        <f t="shared" si="5"/>
        <v>56</v>
      </c>
      <c r="N174" s="167">
        <v>4</v>
      </c>
      <c r="O174" s="168"/>
      <c r="P174" s="166"/>
      <c r="Q174" s="171"/>
      <c r="R174" s="166"/>
      <c r="S174" s="94"/>
    </row>
    <row r="175" s="92" customFormat="1" ht="23" customHeight="1" spans="1:19">
      <c r="A175" s="166"/>
      <c r="B175" s="166"/>
      <c r="C175" s="166"/>
      <c r="D175" s="170"/>
      <c r="E175" s="166"/>
      <c r="F175" s="166"/>
      <c r="G175" s="166"/>
      <c r="H175" s="166"/>
      <c r="I175" s="166"/>
      <c r="J175" s="166"/>
      <c r="K175" s="166"/>
      <c r="L175" s="167" t="s">
        <v>1275</v>
      </c>
      <c r="M175" s="167">
        <f t="shared" si="5"/>
        <v>60</v>
      </c>
      <c r="N175" s="167">
        <v>4</v>
      </c>
      <c r="O175" s="168"/>
      <c r="P175" s="166"/>
      <c r="Q175" s="171"/>
      <c r="R175" s="166"/>
      <c r="S175" s="94"/>
    </row>
    <row r="176" s="92" customFormat="1" ht="23" customHeight="1" spans="1:19">
      <c r="A176" s="166"/>
      <c r="B176" s="166"/>
      <c r="C176" s="166"/>
      <c r="D176" s="170"/>
      <c r="E176" s="166"/>
      <c r="F176" s="166"/>
      <c r="G176" s="166"/>
      <c r="H176" s="166"/>
      <c r="I176" s="166"/>
      <c r="J176" s="166"/>
      <c r="K176" s="166"/>
      <c r="L176" s="167" t="s">
        <v>88</v>
      </c>
      <c r="M176" s="167">
        <f t="shared" si="5"/>
        <v>64</v>
      </c>
      <c r="N176" s="167">
        <v>4</v>
      </c>
      <c r="O176" s="168"/>
      <c r="P176" s="166"/>
      <c r="Q176" s="171"/>
      <c r="R176" s="166"/>
      <c r="S176" s="94"/>
    </row>
    <row r="177" s="92" customFormat="1" ht="23" customHeight="1" spans="1:19">
      <c r="A177" s="166"/>
      <c r="B177" s="166"/>
      <c r="C177" s="166"/>
      <c r="D177" s="170"/>
      <c r="E177" s="166"/>
      <c r="F177" s="166"/>
      <c r="G177" s="166"/>
      <c r="H177" s="166"/>
      <c r="I177" s="166"/>
      <c r="J177" s="166"/>
      <c r="K177" s="166"/>
      <c r="L177" s="167" t="s">
        <v>1276</v>
      </c>
      <c r="M177" s="167">
        <f t="shared" si="5"/>
        <v>68</v>
      </c>
      <c r="N177" s="167">
        <v>4</v>
      </c>
      <c r="O177" s="168"/>
      <c r="P177" s="166"/>
      <c r="Q177" s="171"/>
      <c r="R177" s="166"/>
      <c r="S177" s="94"/>
    </row>
    <row r="178" s="92" customFormat="1" ht="23" customHeight="1" spans="1:19">
      <c r="A178" s="166"/>
      <c r="B178" s="166"/>
      <c r="C178" s="166"/>
      <c r="D178" s="170" t="s">
        <v>202</v>
      </c>
      <c r="E178" s="166"/>
      <c r="F178" s="166"/>
      <c r="G178" s="166"/>
      <c r="H178" s="166"/>
      <c r="I178" s="166"/>
      <c r="J178" s="166"/>
      <c r="K178" s="166"/>
      <c r="L178" s="167" t="s">
        <v>1277</v>
      </c>
      <c r="M178" s="167">
        <f t="shared" si="5"/>
        <v>72</v>
      </c>
      <c r="N178" s="167">
        <v>4</v>
      </c>
      <c r="O178" s="168"/>
      <c r="P178" s="166"/>
      <c r="Q178" s="171" t="s">
        <v>1420</v>
      </c>
      <c r="R178" s="166"/>
      <c r="S178" s="94"/>
    </row>
    <row r="179" s="92" customFormat="1" ht="23" customHeight="1" spans="1:19">
      <c r="A179" s="166"/>
      <c r="B179" s="166"/>
      <c r="C179" s="166"/>
      <c r="D179" s="170" t="s">
        <v>202</v>
      </c>
      <c r="E179" s="166"/>
      <c r="F179" s="166"/>
      <c r="G179" s="166"/>
      <c r="H179" s="166"/>
      <c r="I179" s="166"/>
      <c r="J179" s="166"/>
      <c r="K179" s="166"/>
      <c r="L179" s="167" t="s">
        <v>1278</v>
      </c>
      <c r="M179" s="167">
        <f t="shared" si="5"/>
        <v>76</v>
      </c>
      <c r="N179" s="167">
        <v>4</v>
      </c>
      <c r="O179" s="168"/>
      <c r="P179" s="166"/>
      <c r="Q179" s="171" t="s">
        <v>1420</v>
      </c>
      <c r="R179" s="166"/>
      <c r="S179" s="94"/>
    </row>
    <row r="180" s="92" customFormat="1" ht="23" customHeight="1" spans="1:19">
      <c r="A180" s="166"/>
      <c r="B180" s="166"/>
      <c r="C180" s="166"/>
      <c r="D180" s="170" t="s">
        <v>202</v>
      </c>
      <c r="E180" s="166"/>
      <c r="F180" s="166"/>
      <c r="G180" s="166"/>
      <c r="H180" s="166"/>
      <c r="I180" s="166"/>
      <c r="J180" s="166"/>
      <c r="K180" s="166"/>
      <c r="L180" s="167" t="s">
        <v>1279</v>
      </c>
      <c r="M180" s="167">
        <f t="shared" si="5"/>
        <v>80</v>
      </c>
      <c r="N180" s="167">
        <v>4</v>
      </c>
      <c r="O180" s="168"/>
      <c r="P180" s="166"/>
      <c r="Q180" s="171" t="s">
        <v>1420</v>
      </c>
      <c r="R180" s="166"/>
      <c r="S180" s="94"/>
    </row>
    <row r="181" s="92" customFormat="1" ht="23" customHeight="1" spans="1:19">
      <c r="A181" s="166"/>
      <c r="B181" s="166"/>
      <c r="C181" s="166"/>
      <c r="D181" s="170"/>
      <c r="E181" s="166"/>
      <c r="F181" s="166"/>
      <c r="G181" s="166"/>
      <c r="H181" s="166"/>
      <c r="I181" s="166"/>
      <c r="J181" s="166"/>
      <c r="K181" s="166"/>
      <c r="L181" s="167" t="s">
        <v>88</v>
      </c>
      <c r="M181" s="167">
        <f t="shared" si="5"/>
        <v>84</v>
      </c>
      <c r="N181" s="167">
        <v>4</v>
      </c>
      <c r="O181" s="168"/>
      <c r="P181" s="166"/>
      <c r="Q181" s="171"/>
      <c r="R181" s="166"/>
      <c r="S181" s="94"/>
    </row>
    <row r="182" s="92" customFormat="1" ht="23" customHeight="1" spans="1:19">
      <c r="A182" s="166"/>
      <c r="B182" s="166"/>
      <c r="C182" s="166"/>
      <c r="D182" s="170" t="s">
        <v>202</v>
      </c>
      <c r="E182" s="166"/>
      <c r="F182" s="166"/>
      <c r="G182" s="166"/>
      <c r="H182" s="166"/>
      <c r="I182" s="166"/>
      <c r="J182" s="166"/>
      <c r="K182" s="166"/>
      <c r="L182" s="167" t="s">
        <v>1280</v>
      </c>
      <c r="M182" s="167">
        <f t="shared" si="5"/>
        <v>88</v>
      </c>
      <c r="N182" s="167">
        <v>4</v>
      </c>
      <c r="O182" s="168"/>
      <c r="P182" s="166"/>
      <c r="Q182" s="171" t="s">
        <v>1420</v>
      </c>
      <c r="R182" s="166"/>
      <c r="S182" s="94"/>
    </row>
    <row r="183" s="92" customFormat="1" ht="23" customHeight="1" spans="1:19">
      <c r="A183" s="166"/>
      <c r="B183" s="166"/>
      <c r="C183" s="166"/>
      <c r="D183" s="170"/>
      <c r="E183" s="166"/>
      <c r="F183" s="166"/>
      <c r="G183" s="166"/>
      <c r="H183" s="166"/>
      <c r="I183" s="166"/>
      <c r="J183" s="166"/>
      <c r="K183" s="166"/>
      <c r="L183" s="167" t="s">
        <v>207</v>
      </c>
      <c r="M183" s="167">
        <f t="shared" si="5"/>
        <v>92</v>
      </c>
      <c r="N183" s="167">
        <v>4</v>
      </c>
      <c r="O183" s="168"/>
      <c r="P183" s="166"/>
      <c r="Q183" s="171"/>
      <c r="R183" s="166"/>
      <c r="S183" s="94"/>
    </row>
    <row r="184" s="92" customFormat="1" ht="23" customHeight="1" spans="1:19">
      <c r="A184" s="166"/>
      <c r="B184" s="166"/>
      <c r="C184" s="166"/>
      <c r="D184" s="170"/>
      <c r="E184" s="166"/>
      <c r="F184" s="166"/>
      <c r="G184" s="166"/>
      <c r="H184" s="166"/>
      <c r="I184" s="166"/>
      <c r="J184" s="166"/>
      <c r="K184" s="166"/>
      <c r="L184" s="167" t="s">
        <v>1260</v>
      </c>
      <c r="M184" s="167">
        <f t="shared" si="5"/>
        <v>96</v>
      </c>
      <c r="N184" s="167">
        <v>4</v>
      </c>
      <c r="O184" s="168"/>
      <c r="P184" s="166"/>
      <c r="Q184" s="171"/>
      <c r="R184" s="166"/>
      <c r="S184" s="94"/>
    </row>
    <row r="185" s="92" customFormat="1" ht="23" customHeight="1" spans="1:19">
      <c r="A185" s="166"/>
      <c r="B185" s="166"/>
      <c r="C185" s="166"/>
      <c r="D185" s="170"/>
      <c r="E185" s="166"/>
      <c r="F185" s="166"/>
      <c r="G185" s="166"/>
      <c r="H185" s="166"/>
      <c r="I185" s="166"/>
      <c r="J185" s="166"/>
      <c r="K185" s="166"/>
      <c r="L185" s="167" t="s">
        <v>1281</v>
      </c>
      <c r="M185" s="167">
        <f t="shared" si="5"/>
        <v>100</v>
      </c>
      <c r="N185" s="167">
        <v>4</v>
      </c>
      <c r="O185" s="168"/>
      <c r="P185" s="166"/>
      <c r="Q185" s="171"/>
      <c r="R185" s="166"/>
      <c r="S185" s="94"/>
    </row>
    <row r="186" s="92" customFormat="1" ht="23" customHeight="1" spans="1:19">
      <c r="A186" s="166"/>
      <c r="B186" s="166"/>
      <c r="C186" s="166"/>
      <c r="D186" s="170"/>
      <c r="E186" s="166"/>
      <c r="F186" s="166"/>
      <c r="G186" s="166"/>
      <c r="H186" s="166"/>
      <c r="I186" s="166"/>
      <c r="J186" s="166"/>
      <c r="K186" s="166"/>
      <c r="L186" s="167" t="s">
        <v>88</v>
      </c>
      <c r="M186" s="167">
        <f t="shared" si="5"/>
        <v>104</v>
      </c>
      <c r="N186" s="167">
        <v>4</v>
      </c>
      <c r="O186" s="168"/>
      <c r="P186" s="166"/>
      <c r="Q186" s="171"/>
      <c r="R186" s="166"/>
      <c r="S186" s="94"/>
    </row>
    <row r="187" s="92" customFormat="1" ht="23" customHeight="1" spans="1:19">
      <c r="A187" s="166"/>
      <c r="B187" s="166"/>
      <c r="C187" s="166"/>
      <c r="D187" s="170"/>
      <c r="E187" s="166"/>
      <c r="F187" s="166"/>
      <c r="G187" s="166"/>
      <c r="H187" s="166"/>
      <c r="I187" s="166"/>
      <c r="J187" s="166"/>
      <c r="K187" s="166"/>
      <c r="L187" s="167" t="s">
        <v>1282</v>
      </c>
      <c r="M187" s="167">
        <f t="shared" si="5"/>
        <v>108</v>
      </c>
      <c r="N187" s="167">
        <v>4</v>
      </c>
      <c r="O187" s="168"/>
      <c r="P187" s="166"/>
      <c r="Q187" s="171"/>
      <c r="R187" s="166"/>
      <c r="S187" s="94"/>
    </row>
    <row r="188" s="92" customFormat="1" ht="23" customHeight="1" spans="1:19">
      <c r="A188" s="166"/>
      <c r="B188" s="166"/>
      <c r="C188" s="166"/>
      <c r="D188" s="170"/>
      <c r="E188" s="166"/>
      <c r="F188" s="166"/>
      <c r="G188" s="166"/>
      <c r="H188" s="166"/>
      <c r="I188" s="166"/>
      <c r="J188" s="166"/>
      <c r="K188" s="166"/>
      <c r="L188" s="167" t="s">
        <v>1283</v>
      </c>
      <c r="M188" s="167">
        <f t="shared" si="5"/>
        <v>112</v>
      </c>
      <c r="N188" s="167">
        <v>4</v>
      </c>
      <c r="O188" s="168"/>
      <c r="P188" s="166"/>
      <c r="Q188" s="171"/>
      <c r="R188" s="166"/>
      <c r="S188" s="94"/>
    </row>
    <row r="189" s="92" customFormat="1" ht="23" customHeight="1" spans="1:19">
      <c r="A189" s="166"/>
      <c r="B189" s="166"/>
      <c r="C189" s="166"/>
      <c r="D189" s="170"/>
      <c r="E189" s="166"/>
      <c r="F189" s="166"/>
      <c r="G189" s="166"/>
      <c r="H189" s="166"/>
      <c r="I189" s="166"/>
      <c r="J189" s="166"/>
      <c r="K189" s="166"/>
      <c r="L189" s="167" t="s">
        <v>1284</v>
      </c>
      <c r="M189" s="167">
        <f t="shared" si="5"/>
        <v>116</v>
      </c>
      <c r="N189" s="167">
        <v>4</v>
      </c>
      <c r="O189" s="168"/>
      <c r="P189" s="166"/>
      <c r="Q189" s="171"/>
      <c r="R189" s="166"/>
      <c r="S189" s="94"/>
    </row>
    <row r="190" s="92" customFormat="1" ht="23" customHeight="1" spans="1:19">
      <c r="A190" s="166"/>
      <c r="B190" s="166"/>
      <c r="C190" s="166"/>
      <c r="D190" s="170"/>
      <c r="E190" s="166"/>
      <c r="F190" s="166"/>
      <c r="G190" s="166"/>
      <c r="H190" s="166"/>
      <c r="I190" s="166"/>
      <c r="J190" s="166"/>
      <c r="K190" s="166"/>
      <c r="L190" s="167" t="s">
        <v>1285</v>
      </c>
      <c r="M190" s="167">
        <f t="shared" si="5"/>
        <v>120</v>
      </c>
      <c r="N190" s="167">
        <v>4</v>
      </c>
      <c r="O190" s="168"/>
      <c r="P190" s="166"/>
      <c r="Q190" s="171"/>
      <c r="R190" s="166"/>
      <c r="S190" s="94"/>
    </row>
    <row r="191" s="92" customFormat="1" ht="23" customHeight="1" spans="1:19">
      <c r="A191" s="166"/>
      <c r="B191" s="166"/>
      <c r="C191" s="166"/>
      <c r="D191" s="170"/>
      <c r="E191" s="166"/>
      <c r="F191" s="166"/>
      <c r="G191" s="166"/>
      <c r="H191" s="166"/>
      <c r="I191" s="166"/>
      <c r="J191" s="166"/>
      <c r="K191" s="166"/>
      <c r="L191" s="167" t="s">
        <v>88</v>
      </c>
      <c r="M191" s="167">
        <f t="shared" si="5"/>
        <v>124</v>
      </c>
      <c r="N191" s="167">
        <v>4</v>
      </c>
      <c r="O191" s="168"/>
      <c r="P191" s="166"/>
      <c r="Q191" s="171"/>
      <c r="R191" s="166"/>
      <c r="S191" s="94"/>
    </row>
    <row r="192" s="92" customFormat="1" ht="23" customHeight="1" spans="1:19">
      <c r="A192" s="166"/>
      <c r="B192" s="166"/>
      <c r="C192" s="166"/>
      <c r="D192" s="170"/>
      <c r="E192" s="166"/>
      <c r="F192" s="166"/>
      <c r="G192" s="166"/>
      <c r="H192" s="166"/>
      <c r="I192" s="166"/>
      <c r="J192" s="166"/>
      <c r="K192" s="166"/>
      <c r="L192" s="167" t="s">
        <v>1286</v>
      </c>
      <c r="M192" s="167">
        <f t="shared" si="5"/>
        <v>128</v>
      </c>
      <c r="N192" s="167">
        <v>4</v>
      </c>
      <c r="O192" s="168"/>
      <c r="P192" s="166"/>
      <c r="Q192" s="171"/>
      <c r="R192" s="166"/>
      <c r="S192" s="94"/>
    </row>
    <row r="193" s="92" customFormat="1" ht="23" customHeight="1" spans="1:19">
      <c r="A193" s="166"/>
      <c r="B193" s="166"/>
      <c r="C193" s="166"/>
      <c r="D193" s="170"/>
      <c r="E193" s="166"/>
      <c r="F193" s="166"/>
      <c r="G193" s="166"/>
      <c r="H193" s="166"/>
      <c r="I193" s="166"/>
      <c r="J193" s="166"/>
      <c r="K193" s="166"/>
      <c r="L193" s="167" t="s">
        <v>1287</v>
      </c>
      <c r="M193" s="167">
        <f t="shared" si="5"/>
        <v>132</v>
      </c>
      <c r="N193" s="167">
        <v>4</v>
      </c>
      <c r="O193" s="168"/>
      <c r="P193" s="166"/>
      <c r="Q193" s="171"/>
      <c r="R193" s="166"/>
      <c r="S193" s="94"/>
    </row>
    <row r="194" s="92" customFormat="1" ht="23" customHeight="1" spans="1:19">
      <c r="A194" s="166"/>
      <c r="B194" s="166"/>
      <c r="C194" s="166"/>
      <c r="D194" s="170"/>
      <c r="E194" s="166"/>
      <c r="F194" s="166"/>
      <c r="G194" s="166"/>
      <c r="H194" s="166"/>
      <c r="I194" s="166"/>
      <c r="J194" s="166"/>
      <c r="K194" s="166"/>
      <c r="L194" s="167" t="s">
        <v>1288</v>
      </c>
      <c r="M194" s="167">
        <f t="shared" si="5"/>
        <v>136</v>
      </c>
      <c r="N194" s="167">
        <v>4</v>
      </c>
      <c r="O194" s="168"/>
      <c r="P194" s="166"/>
      <c r="Q194" s="171"/>
      <c r="R194" s="166"/>
      <c r="S194" s="94"/>
    </row>
    <row r="195" s="92" customFormat="1" ht="23" customHeight="1" spans="1:19">
      <c r="A195" s="166"/>
      <c r="B195" s="166"/>
      <c r="C195" s="166"/>
      <c r="D195" s="170"/>
      <c r="E195" s="166"/>
      <c r="F195" s="166"/>
      <c r="G195" s="166"/>
      <c r="H195" s="166"/>
      <c r="I195" s="166"/>
      <c r="J195" s="166"/>
      <c r="K195" s="166"/>
      <c r="L195" s="167" t="s">
        <v>1289</v>
      </c>
      <c r="M195" s="167">
        <f t="shared" si="5"/>
        <v>140</v>
      </c>
      <c r="N195" s="167">
        <v>4</v>
      </c>
      <c r="O195" s="168"/>
      <c r="P195" s="166"/>
      <c r="Q195" s="171"/>
      <c r="R195" s="166"/>
      <c r="S195" s="94"/>
    </row>
    <row r="196" s="92" customFormat="1" ht="23" customHeight="1" spans="1:19">
      <c r="A196" s="166"/>
      <c r="B196" s="166"/>
      <c r="C196" s="166"/>
      <c r="D196" s="170"/>
      <c r="E196" s="166"/>
      <c r="F196" s="166"/>
      <c r="G196" s="166"/>
      <c r="H196" s="166"/>
      <c r="I196" s="166"/>
      <c r="J196" s="166"/>
      <c r="K196" s="166"/>
      <c r="L196" s="167" t="s">
        <v>88</v>
      </c>
      <c r="M196" s="167">
        <f t="shared" si="5"/>
        <v>144</v>
      </c>
      <c r="N196" s="167">
        <v>4</v>
      </c>
      <c r="O196" s="168"/>
      <c r="P196" s="166"/>
      <c r="Q196" s="171"/>
      <c r="R196" s="166"/>
      <c r="S196" s="94"/>
    </row>
    <row r="197" s="92" customFormat="1" ht="23" customHeight="1" spans="1:19">
      <c r="A197" s="166"/>
      <c r="B197" s="166"/>
      <c r="C197" s="166"/>
      <c r="D197" s="170"/>
      <c r="E197" s="166"/>
      <c r="F197" s="166"/>
      <c r="G197" s="166"/>
      <c r="H197" s="166"/>
      <c r="I197" s="166"/>
      <c r="J197" s="166"/>
      <c r="K197" s="166"/>
      <c r="L197" s="167" t="s">
        <v>33</v>
      </c>
      <c r="M197" s="167">
        <f t="shared" si="5"/>
        <v>148</v>
      </c>
      <c r="N197" s="167">
        <v>4</v>
      </c>
      <c r="O197" s="168"/>
      <c r="P197" s="166"/>
      <c r="Q197" s="171"/>
      <c r="R197" s="166"/>
      <c r="S197" s="94"/>
    </row>
    <row r="198" s="92" customFormat="1" ht="23" customHeight="1" spans="1:19">
      <c r="A198" s="166"/>
      <c r="B198" s="166"/>
      <c r="C198" s="166"/>
      <c r="D198" s="170"/>
      <c r="E198" s="166"/>
      <c r="F198" s="166"/>
      <c r="G198" s="166"/>
      <c r="H198" s="166"/>
      <c r="I198" s="166"/>
      <c r="J198" s="166"/>
      <c r="K198" s="166"/>
      <c r="L198" s="167" t="s">
        <v>34</v>
      </c>
      <c r="M198" s="167">
        <f t="shared" si="5"/>
        <v>152</v>
      </c>
      <c r="N198" s="167">
        <v>4</v>
      </c>
      <c r="O198" s="168"/>
      <c r="P198" s="166"/>
      <c r="Q198" s="171"/>
      <c r="R198" s="166"/>
      <c r="S198" s="94"/>
    </row>
    <row r="199" s="92" customFormat="1" ht="23" customHeight="1" spans="1:19">
      <c r="A199" s="168" t="s">
        <v>1438</v>
      </c>
      <c r="B199" s="168" t="s">
        <v>1439</v>
      </c>
      <c r="C199" s="168" t="s">
        <v>1435</v>
      </c>
      <c r="D199" s="168"/>
      <c r="E199" s="168" t="s">
        <v>1415</v>
      </c>
      <c r="F199" s="168" t="s">
        <v>1416</v>
      </c>
      <c r="G199" s="168" t="s">
        <v>1345</v>
      </c>
      <c r="H199" s="168" t="s">
        <v>1440</v>
      </c>
      <c r="I199" s="168" t="s">
        <v>1418</v>
      </c>
      <c r="J199" s="168">
        <v>7088</v>
      </c>
      <c r="K199" s="168" t="s">
        <v>1264</v>
      </c>
      <c r="L199" s="167" t="s">
        <v>87</v>
      </c>
      <c r="M199" s="167">
        <v>0</v>
      </c>
      <c r="N199" s="167">
        <v>4</v>
      </c>
      <c r="O199" s="168">
        <v>100</v>
      </c>
      <c r="P199" s="168" t="s">
        <v>1437</v>
      </c>
      <c r="Q199" s="171"/>
      <c r="R199" s="168" t="s">
        <v>1416</v>
      </c>
      <c r="S199" s="94"/>
    </row>
    <row r="200" s="92" customFormat="1" ht="23" customHeight="1" spans="1:19">
      <c r="A200" s="168"/>
      <c r="B200" s="168"/>
      <c r="C200" s="168"/>
      <c r="D200" s="168"/>
      <c r="E200" s="168"/>
      <c r="F200" s="168"/>
      <c r="G200" s="168"/>
      <c r="H200" s="168"/>
      <c r="I200" s="168"/>
      <c r="J200" s="168"/>
      <c r="K200" s="168"/>
      <c r="L200" s="167" t="s">
        <v>88</v>
      </c>
      <c r="M200" s="167">
        <f t="shared" ref="M200:M237" si="6">M199+N199</f>
        <v>4</v>
      </c>
      <c r="N200" s="167">
        <v>4</v>
      </c>
      <c r="O200" s="168"/>
      <c r="P200" s="168"/>
      <c r="Q200" s="171"/>
      <c r="R200" s="168"/>
      <c r="S200" s="94"/>
    </row>
    <row r="201" s="92" customFormat="1" ht="23" customHeight="1" spans="1:19">
      <c r="A201" s="168"/>
      <c r="B201" s="168"/>
      <c r="C201" s="168"/>
      <c r="D201" s="168"/>
      <c r="E201" s="168"/>
      <c r="F201" s="168"/>
      <c r="G201" s="168"/>
      <c r="H201" s="168"/>
      <c r="I201" s="168"/>
      <c r="J201" s="168"/>
      <c r="K201" s="168"/>
      <c r="L201" s="167" t="s">
        <v>1265</v>
      </c>
      <c r="M201" s="167">
        <f t="shared" si="6"/>
        <v>8</v>
      </c>
      <c r="N201" s="167">
        <v>4</v>
      </c>
      <c r="O201" s="168"/>
      <c r="P201" s="168"/>
      <c r="Q201" s="171"/>
      <c r="R201" s="168"/>
      <c r="S201" s="94"/>
    </row>
    <row r="202" s="92" customFormat="1" ht="23" customHeight="1" spans="1:19">
      <c r="A202" s="168"/>
      <c r="B202" s="168"/>
      <c r="C202" s="168"/>
      <c r="D202" s="168" t="s">
        <v>202</v>
      </c>
      <c r="E202" s="168"/>
      <c r="F202" s="168"/>
      <c r="G202" s="168"/>
      <c r="H202" s="168"/>
      <c r="I202" s="168"/>
      <c r="J202" s="168"/>
      <c r="K202" s="168"/>
      <c r="L202" s="167" t="s">
        <v>1247</v>
      </c>
      <c r="M202" s="167">
        <f t="shared" si="6"/>
        <v>12</v>
      </c>
      <c r="N202" s="167">
        <v>4</v>
      </c>
      <c r="O202" s="168"/>
      <c r="P202" s="168"/>
      <c r="Q202" s="171" t="s">
        <v>1420</v>
      </c>
      <c r="R202" s="168"/>
      <c r="S202" s="94"/>
    </row>
    <row r="203" s="92" customFormat="1" ht="23" customHeight="1" spans="1:19">
      <c r="A203" s="168"/>
      <c r="B203" s="168"/>
      <c r="C203" s="168"/>
      <c r="D203" s="168"/>
      <c r="E203" s="168"/>
      <c r="F203" s="168"/>
      <c r="G203" s="168"/>
      <c r="H203" s="168"/>
      <c r="I203" s="168"/>
      <c r="J203" s="168"/>
      <c r="K203" s="168"/>
      <c r="L203" s="167" t="s">
        <v>1266</v>
      </c>
      <c r="M203" s="167">
        <f t="shared" si="6"/>
        <v>16</v>
      </c>
      <c r="N203" s="167">
        <v>4</v>
      </c>
      <c r="O203" s="168"/>
      <c r="P203" s="168"/>
      <c r="Q203" s="171"/>
      <c r="R203" s="168"/>
      <c r="S203" s="94"/>
    </row>
    <row r="204" s="92" customFormat="1" ht="23" customHeight="1" spans="1:19">
      <c r="A204" s="168"/>
      <c r="B204" s="168"/>
      <c r="C204" s="168"/>
      <c r="D204" s="168"/>
      <c r="E204" s="168"/>
      <c r="F204" s="168"/>
      <c r="G204" s="168"/>
      <c r="H204" s="168"/>
      <c r="I204" s="168"/>
      <c r="J204" s="168"/>
      <c r="K204" s="168"/>
      <c r="L204" s="167" t="s">
        <v>1267</v>
      </c>
      <c r="M204" s="167">
        <f t="shared" si="6"/>
        <v>20</v>
      </c>
      <c r="N204" s="167">
        <v>4</v>
      </c>
      <c r="O204" s="168"/>
      <c r="P204" s="168"/>
      <c r="Q204" s="171"/>
      <c r="R204" s="168"/>
      <c r="S204" s="94"/>
    </row>
    <row r="205" s="92" customFormat="1" ht="23" customHeight="1" spans="1:19">
      <c r="A205" s="168"/>
      <c r="B205" s="168"/>
      <c r="C205" s="168"/>
      <c r="D205" s="168"/>
      <c r="E205" s="168"/>
      <c r="F205" s="168"/>
      <c r="G205" s="168"/>
      <c r="H205" s="168"/>
      <c r="I205" s="168"/>
      <c r="J205" s="168"/>
      <c r="K205" s="168"/>
      <c r="L205" s="167" t="s">
        <v>88</v>
      </c>
      <c r="M205" s="167">
        <f t="shared" si="6"/>
        <v>24</v>
      </c>
      <c r="N205" s="167">
        <v>4</v>
      </c>
      <c r="O205" s="168"/>
      <c r="P205" s="168"/>
      <c r="Q205" s="171"/>
      <c r="R205" s="168"/>
      <c r="S205" s="94"/>
    </row>
    <row r="206" s="92" customFormat="1" ht="23" customHeight="1" spans="1:19">
      <c r="A206" s="168"/>
      <c r="B206" s="168"/>
      <c r="C206" s="168"/>
      <c r="D206" s="168"/>
      <c r="E206" s="168"/>
      <c r="F206" s="168"/>
      <c r="G206" s="168"/>
      <c r="H206" s="168"/>
      <c r="I206" s="168"/>
      <c r="J206" s="168"/>
      <c r="K206" s="168"/>
      <c r="L206" s="167" t="s">
        <v>1268</v>
      </c>
      <c r="M206" s="167">
        <f t="shared" si="6"/>
        <v>28</v>
      </c>
      <c r="N206" s="167">
        <v>4</v>
      </c>
      <c r="O206" s="168"/>
      <c r="P206" s="168"/>
      <c r="Q206" s="171"/>
      <c r="R206" s="168"/>
      <c r="S206" s="94"/>
    </row>
    <row r="207" s="92" customFormat="1" ht="23" customHeight="1" spans="1:19">
      <c r="A207" s="168"/>
      <c r="B207" s="168"/>
      <c r="C207" s="168"/>
      <c r="D207" s="168"/>
      <c r="E207" s="168"/>
      <c r="F207" s="168"/>
      <c r="G207" s="168"/>
      <c r="H207" s="168"/>
      <c r="I207" s="168"/>
      <c r="J207" s="168"/>
      <c r="K207" s="168"/>
      <c r="L207" s="167" t="s">
        <v>1269</v>
      </c>
      <c r="M207" s="167">
        <f t="shared" si="6"/>
        <v>32</v>
      </c>
      <c r="N207" s="167">
        <v>4</v>
      </c>
      <c r="O207" s="168"/>
      <c r="P207" s="168"/>
      <c r="Q207" s="171"/>
      <c r="R207" s="168"/>
      <c r="S207" s="94"/>
    </row>
    <row r="208" s="92" customFormat="1" ht="23" customHeight="1" spans="1:19">
      <c r="A208" s="168"/>
      <c r="B208" s="168"/>
      <c r="C208" s="168"/>
      <c r="D208" s="168" t="s">
        <v>202</v>
      </c>
      <c r="E208" s="168"/>
      <c r="F208" s="168"/>
      <c r="G208" s="168"/>
      <c r="H208" s="168"/>
      <c r="I208" s="168"/>
      <c r="J208" s="168"/>
      <c r="K208" s="168"/>
      <c r="L208" s="167" t="s">
        <v>1270</v>
      </c>
      <c r="M208" s="167">
        <f t="shared" si="6"/>
        <v>36</v>
      </c>
      <c r="N208" s="167">
        <v>4</v>
      </c>
      <c r="O208" s="168"/>
      <c r="P208" s="168"/>
      <c r="Q208" s="171" t="s">
        <v>1420</v>
      </c>
      <c r="R208" s="168"/>
      <c r="S208" s="94"/>
    </row>
    <row r="209" s="92" customFormat="1" ht="23" customHeight="1" spans="1:19">
      <c r="A209" s="168"/>
      <c r="B209" s="168"/>
      <c r="C209" s="168"/>
      <c r="D209" s="168" t="s">
        <v>202</v>
      </c>
      <c r="E209" s="168"/>
      <c r="F209" s="168"/>
      <c r="G209" s="168"/>
      <c r="H209" s="168"/>
      <c r="I209" s="168"/>
      <c r="J209" s="168"/>
      <c r="K209" s="168"/>
      <c r="L209" s="167" t="s">
        <v>1271</v>
      </c>
      <c r="M209" s="167">
        <f t="shared" si="6"/>
        <v>40</v>
      </c>
      <c r="N209" s="167">
        <v>4</v>
      </c>
      <c r="O209" s="168"/>
      <c r="P209" s="168"/>
      <c r="Q209" s="171" t="s">
        <v>1420</v>
      </c>
      <c r="R209" s="168"/>
      <c r="S209" s="94"/>
    </row>
    <row r="210" s="92" customFormat="1" ht="23" customHeight="1" spans="1:19">
      <c r="A210" s="168"/>
      <c r="B210" s="168"/>
      <c r="C210" s="168"/>
      <c r="D210" s="168"/>
      <c r="E210" s="168"/>
      <c r="F210" s="168"/>
      <c r="G210" s="168"/>
      <c r="H210" s="168"/>
      <c r="I210" s="168"/>
      <c r="J210" s="168"/>
      <c r="K210" s="168"/>
      <c r="L210" s="167" t="s">
        <v>88</v>
      </c>
      <c r="M210" s="167">
        <f t="shared" si="6"/>
        <v>44</v>
      </c>
      <c r="N210" s="167">
        <v>4</v>
      </c>
      <c r="O210" s="168"/>
      <c r="P210" s="168"/>
      <c r="Q210" s="171"/>
      <c r="R210" s="168"/>
      <c r="S210" s="94"/>
    </row>
    <row r="211" s="92" customFormat="1" ht="23" customHeight="1" spans="1:19">
      <c r="A211" s="168"/>
      <c r="B211" s="168"/>
      <c r="C211" s="168"/>
      <c r="D211" s="168"/>
      <c r="E211" s="168"/>
      <c r="F211" s="168"/>
      <c r="G211" s="168"/>
      <c r="H211" s="168"/>
      <c r="I211" s="168"/>
      <c r="J211" s="168"/>
      <c r="K211" s="168"/>
      <c r="L211" s="167" t="s">
        <v>1272</v>
      </c>
      <c r="M211" s="167">
        <f t="shared" si="6"/>
        <v>48</v>
      </c>
      <c r="N211" s="167">
        <v>4</v>
      </c>
      <c r="O211" s="168"/>
      <c r="P211" s="168"/>
      <c r="Q211" s="171"/>
      <c r="R211" s="168"/>
      <c r="S211" s="94"/>
    </row>
    <row r="212" s="92" customFormat="1" ht="23" customHeight="1" spans="1:19">
      <c r="A212" s="168"/>
      <c r="B212" s="168"/>
      <c r="C212" s="168"/>
      <c r="D212" s="168"/>
      <c r="E212" s="168"/>
      <c r="F212" s="168"/>
      <c r="G212" s="168"/>
      <c r="H212" s="168"/>
      <c r="I212" s="168"/>
      <c r="J212" s="168"/>
      <c r="K212" s="168"/>
      <c r="L212" s="167" t="s">
        <v>1273</v>
      </c>
      <c r="M212" s="167">
        <f t="shared" si="6"/>
        <v>52</v>
      </c>
      <c r="N212" s="167">
        <v>4</v>
      </c>
      <c r="O212" s="168"/>
      <c r="P212" s="168"/>
      <c r="Q212" s="171"/>
      <c r="R212" s="168"/>
      <c r="S212" s="94"/>
    </row>
    <row r="213" s="92" customFormat="1" ht="23" customHeight="1" spans="1:19">
      <c r="A213" s="168"/>
      <c r="B213" s="168"/>
      <c r="C213" s="168"/>
      <c r="D213" s="168"/>
      <c r="E213" s="168"/>
      <c r="F213" s="168"/>
      <c r="G213" s="168"/>
      <c r="H213" s="168"/>
      <c r="I213" s="168"/>
      <c r="J213" s="168"/>
      <c r="K213" s="168"/>
      <c r="L213" s="167" t="s">
        <v>1274</v>
      </c>
      <c r="M213" s="167">
        <f t="shared" si="6"/>
        <v>56</v>
      </c>
      <c r="N213" s="167">
        <v>4</v>
      </c>
      <c r="O213" s="168"/>
      <c r="P213" s="168"/>
      <c r="Q213" s="171"/>
      <c r="R213" s="168"/>
      <c r="S213" s="94"/>
    </row>
    <row r="214" s="92" customFormat="1" ht="23" customHeight="1" spans="1:19">
      <c r="A214" s="168"/>
      <c r="B214" s="168"/>
      <c r="C214" s="168"/>
      <c r="D214" s="168"/>
      <c r="E214" s="168"/>
      <c r="F214" s="168"/>
      <c r="G214" s="168"/>
      <c r="H214" s="168"/>
      <c r="I214" s="168"/>
      <c r="J214" s="168"/>
      <c r="K214" s="168"/>
      <c r="L214" s="167" t="s">
        <v>1275</v>
      </c>
      <c r="M214" s="167">
        <f t="shared" si="6"/>
        <v>60</v>
      </c>
      <c r="N214" s="167">
        <v>4</v>
      </c>
      <c r="O214" s="168"/>
      <c r="P214" s="168"/>
      <c r="Q214" s="171"/>
      <c r="R214" s="168"/>
      <c r="S214" s="94"/>
    </row>
    <row r="215" s="92" customFormat="1" ht="23" customHeight="1" spans="1:19">
      <c r="A215" s="168"/>
      <c r="B215" s="168"/>
      <c r="C215" s="168"/>
      <c r="D215" s="168"/>
      <c r="E215" s="168"/>
      <c r="F215" s="168"/>
      <c r="G215" s="168"/>
      <c r="H215" s="168"/>
      <c r="I215" s="168"/>
      <c r="J215" s="168"/>
      <c r="K215" s="168"/>
      <c r="L215" s="167" t="s">
        <v>88</v>
      </c>
      <c r="M215" s="167">
        <f t="shared" si="6"/>
        <v>64</v>
      </c>
      <c r="N215" s="167">
        <v>4</v>
      </c>
      <c r="O215" s="168"/>
      <c r="P215" s="168"/>
      <c r="Q215" s="171"/>
      <c r="R215" s="168"/>
      <c r="S215" s="94"/>
    </row>
    <row r="216" s="92" customFormat="1" ht="23" customHeight="1" spans="1:19">
      <c r="A216" s="168"/>
      <c r="B216" s="168"/>
      <c r="C216" s="168"/>
      <c r="D216" s="168"/>
      <c r="E216" s="168"/>
      <c r="F216" s="168"/>
      <c r="G216" s="168"/>
      <c r="H216" s="168"/>
      <c r="I216" s="168"/>
      <c r="J216" s="168"/>
      <c r="K216" s="168"/>
      <c r="L216" s="167" t="s">
        <v>1276</v>
      </c>
      <c r="M216" s="167">
        <f t="shared" si="6"/>
        <v>68</v>
      </c>
      <c r="N216" s="167">
        <v>4</v>
      </c>
      <c r="O216" s="168"/>
      <c r="P216" s="168"/>
      <c r="Q216" s="171"/>
      <c r="R216" s="168"/>
      <c r="S216" s="94"/>
    </row>
    <row r="217" s="92" customFormat="1" ht="23" customHeight="1" spans="1:19">
      <c r="A217" s="168"/>
      <c r="B217" s="168"/>
      <c r="C217" s="168"/>
      <c r="D217" s="168" t="s">
        <v>202</v>
      </c>
      <c r="E217" s="168"/>
      <c r="F217" s="168"/>
      <c r="G217" s="168"/>
      <c r="H217" s="168"/>
      <c r="I217" s="168"/>
      <c r="J217" s="168"/>
      <c r="K217" s="168"/>
      <c r="L217" s="167" t="s">
        <v>1277</v>
      </c>
      <c r="M217" s="167">
        <f t="shared" si="6"/>
        <v>72</v>
      </c>
      <c r="N217" s="167">
        <v>4</v>
      </c>
      <c r="O217" s="168"/>
      <c r="P217" s="168"/>
      <c r="Q217" s="171" t="s">
        <v>1420</v>
      </c>
      <c r="R217" s="168"/>
      <c r="S217" s="94"/>
    </row>
    <row r="218" s="92" customFormat="1" ht="23" customHeight="1" spans="1:19">
      <c r="A218" s="168"/>
      <c r="B218" s="168"/>
      <c r="C218" s="168"/>
      <c r="D218" s="168" t="s">
        <v>202</v>
      </c>
      <c r="E218" s="168"/>
      <c r="F218" s="168"/>
      <c r="G218" s="168"/>
      <c r="H218" s="168"/>
      <c r="I218" s="168"/>
      <c r="J218" s="168"/>
      <c r="K218" s="168"/>
      <c r="L218" s="167" t="s">
        <v>1278</v>
      </c>
      <c r="M218" s="167">
        <f t="shared" si="6"/>
        <v>76</v>
      </c>
      <c r="N218" s="167">
        <v>4</v>
      </c>
      <c r="O218" s="168"/>
      <c r="P218" s="168"/>
      <c r="Q218" s="171" t="s">
        <v>1420</v>
      </c>
      <c r="R218" s="168"/>
      <c r="S218" s="94"/>
    </row>
    <row r="219" s="92" customFormat="1" ht="23" customHeight="1" spans="1:19">
      <c r="A219" s="168"/>
      <c r="B219" s="168"/>
      <c r="C219" s="168"/>
      <c r="D219" s="168" t="s">
        <v>202</v>
      </c>
      <c r="E219" s="168"/>
      <c r="F219" s="168"/>
      <c r="G219" s="168"/>
      <c r="H219" s="168"/>
      <c r="I219" s="168"/>
      <c r="J219" s="168"/>
      <c r="K219" s="168"/>
      <c r="L219" s="167" t="s">
        <v>1279</v>
      </c>
      <c r="M219" s="167">
        <f t="shared" si="6"/>
        <v>80</v>
      </c>
      <c r="N219" s="167">
        <v>4</v>
      </c>
      <c r="O219" s="168"/>
      <c r="P219" s="168"/>
      <c r="Q219" s="171" t="s">
        <v>1420</v>
      </c>
      <c r="R219" s="168"/>
      <c r="S219" s="94"/>
    </row>
    <row r="220" s="92" customFormat="1" ht="23" customHeight="1" spans="1:19">
      <c r="A220" s="168"/>
      <c r="B220" s="168"/>
      <c r="C220" s="168"/>
      <c r="D220" s="168"/>
      <c r="E220" s="168"/>
      <c r="F220" s="168"/>
      <c r="G220" s="168"/>
      <c r="H220" s="168"/>
      <c r="I220" s="168"/>
      <c r="J220" s="168"/>
      <c r="K220" s="168"/>
      <c r="L220" s="167" t="s">
        <v>88</v>
      </c>
      <c r="M220" s="167">
        <f t="shared" si="6"/>
        <v>84</v>
      </c>
      <c r="N220" s="167">
        <v>4</v>
      </c>
      <c r="O220" s="168"/>
      <c r="P220" s="168"/>
      <c r="Q220" s="171"/>
      <c r="R220" s="168"/>
      <c r="S220" s="94"/>
    </row>
    <row r="221" s="92" customFormat="1" ht="23" customHeight="1" spans="1:19">
      <c r="A221" s="168"/>
      <c r="B221" s="168"/>
      <c r="C221" s="168"/>
      <c r="D221" s="168" t="s">
        <v>202</v>
      </c>
      <c r="E221" s="168"/>
      <c r="F221" s="168"/>
      <c r="G221" s="168"/>
      <c r="H221" s="168"/>
      <c r="I221" s="168"/>
      <c r="J221" s="168"/>
      <c r="K221" s="168"/>
      <c r="L221" s="167" t="s">
        <v>1280</v>
      </c>
      <c r="M221" s="167">
        <f t="shared" si="6"/>
        <v>88</v>
      </c>
      <c r="N221" s="167">
        <v>4</v>
      </c>
      <c r="O221" s="168"/>
      <c r="P221" s="168"/>
      <c r="Q221" s="171" t="s">
        <v>1420</v>
      </c>
      <c r="R221" s="168"/>
      <c r="S221" s="94"/>
    </row>
    <row r="222" s="92" customFormat="1" ht="23" customHeight="1" spans="1:19">
      <c r="A222" s="168"/>
      <c r="B222" s="168"/>
      <c r="C222" s="168"/>
      <c r="D222" s="168"/>
      <c r="E222" s="168"/>
      <c r="F222" s="168"/>
      <c r="G222" s="168"/>
      <c r="H222" s="168"/>
      <c r="I222" s="168"/>
      <c r="J222" s="168"/>
      <c r="K222" s="168"/>
      <c r="L222" s="167" t="s">
        <v>207</v>
      </c>
      <c r="M222" s="167">
        <f t="shared" si="6"/>
        <v>92</v>
      </c>
      <c r="N222" s="167">
        <v>4</v>
      </c>
      <c r="O222" s="168"/>
      <c r="P222" s="168"/>
      <c r="Q222" s="171"/>
      <c r="R222" s="168"/>
      <c r="S222" s="94"/>
    </row>
    <row r="223" s="92" customFormat="1" ht="23" customHeight="1" spans="1:19">
      <c r="A223" s="168"/>
      <c r="B223" s="168"/>
      <c r="C223" s="168"/>
      <c r="D223" s="168"/>
      <c r="E223" s="168"/>
      <c r="F223" s="168"/>
      <c r="G223" s="168"/>
      <c r="H223" s="168"/>
      <c r="I223" s="168"/>
      <c r="J223" s="168"/>
      <c r="K223" s="168"/>
      <c r="L223" s="167" t="s">
        <v>1260</v>
      </c>
      <c r="M223" s="167">
        <f t="shared" si="6"/>
        <v>96</v>
      </c>
      <c r="N223" s="167">
        <v>4</v>
      </c>
      <c r="O223" s="168"/>
      <c r="P223" s="168"/>
      <c r="Q223" s="171"/>
      <c r="R223" s="168"/>
      <c r="S223" s="94"/>
    </row>
    <row r="224" s="92" customFormat="1" ht="23" customHeight="1" spans="1:19">
      <c r="A224" s="168"/>
      <c r="B224" s="168"/>
      <c r="C224" s="168"/>
      <c r="D224" s="168"/>
      <c r="E224" s="168"/>
      <c r="F224" s="168"/>
      <c r="G224" s="168"/>
      <c r="H224" s="168"/>
      <c r="I224" s="168"/>
      <c r="J224" s="168"/>
      <c r="K224" s="168"/>
      <c r="L224" s="167" t="s">
        <v>1281</v>
      </c>
      <c r="M224" s="167">
        <f t="shared" si="6"/>
        <v>100</v>
      </c>
      <c r="N224" s="167">
        <v>4</v>
      </c>
      <c r="O224" s="168"/>
      <c r="P224" s="168"/>
      <c r="Q224" s="171"/>
      <c r="R224" s="168"/>
      <c r="S224" s="94"/>
    </row>
    <row r="225" s="92" customFormat="1" ht="23" customHeight="1" spans="1:19">
      <c r="A225" s="168"/>
      <c r="B225" s="168"/>
      <c r="C225" s="168"/>
      <c r="D225" s="168"/>
      <c r="E225" s="168"/>
      <c r="F225" s="168"/>
      <c r="G225" s="168"/>
      <c r="H225" s="168"/>
      <c r="I225" s="168"/>
      <c r="J225" s="168"/>
      <c r="K225" s="168"/>
      <c r="L225" s="167" t="s">
        <v>88</v>
      </c>
      <c r="M225" s="167">
        <f t="shared" si="6"/>
        <v>104</v>
      </c>
      <c r="N225" s="167">
        <v>4</v>
      </c>
      <c r="O225" s="168"/>
      <c r="P225" s="168"/>
      <c r="Q225" s="171"/>
      <c r="R225" s="168"/>
      <c r="S225" s="94"/>
    </row>
    <row r="226" s="92" customFormat="1" ht="23" customHeight="1" spans="1:19">
      <c r="A226" s="168"/>
      <c r="B226" s="168"/>
      <c r="C226" s="168"/>
      <c r="D226" s="168"/>
      <c r="E226" s="168"/>
      <c r="F226" s="168"/>
      <c r="G226" s="168"/>
      <c r="H226" s="168"/>
      <c r="I226" s="168"/>
      <c r="J226" s="168"/>
      <c r="K226" s="168"/>
      <c r="L226" s="167" t="s">
        <v>1282</v>
      </c>
      <c r="M226" s="167">
        <f t="shared" si="6"/>
        <v>108</v>
      </c>
      <c r="N226" s="167">
        <v>4</v>
      </c>
      <c r="O226" s="168"/>
      <c r="P226" s="168"/>
      <c r="Q226" s="171"/>
      <c r="R226" s="168"/>
      <c r="S226" s="94"/>
    </row>
    <row r="227" s="92" customFormat="1" ht="23" customHeight="1" spans="1:19">
      <c r="A227" s="168"/>
      <c r="B227" s="168"/>
      <c r="C227" s="168"/>
      <c r="D227" s="168"/>
      <c r="E227" s="168"/>
      <c r="F227" s="168"/>
      <c r="G227" s="168"/>
      <c r="H227" s="168"/>
      <c r="I227" s="168"/>
      <c r="J227" s="168"/>
      <c r="K227" s="168"/>
      <c r="L227" s="167" t="s">
        <v>1283</v>
      </c>
      <c r="M227" s="167">
        <f t="shared" si="6"/>
        <v>112</v>
      </c>
      <c r="N227" s="167">
        <v>4</v>
      </c>
      <c r="O227" s="168"/>
      <c r="P227" s="168"/>
      <c r="Q227" s="171"/>
      <c r="R227" s="168"/>
      <c r="S227" s="94"/>
    </row>
    <row r="228" s="92" customFormat="1" ht="23" customHeight="1" spans="1:19">
      <c r="A228" s="168"/>
      <c r="B228" s="168"/>
      <c r="C228" s="168"/>
      <c r="D228" s="168"/>
      <c r="E228" s="168"/>
      <c r="F228" s="168"/>
      <c r="G228" s="168"/>
      <c r="H228" s="168"/>
      <c r="I228" s="168"/>
      <c r="J228" s="168"/>
      <c r="K228" s="168"/>
      <c r="L228" s="167" t="s">
        <v>1284</v>
      </c>
      <c r="M228" s="167">
        <f t="shared" si="6"/>
        <v>116</v>
      </c>
      <c r="N228" s="167">
        <v>4</v>
      </c>
      <c r="O228" s="168"/>
      <c r="P228" s="168"/>
      <c r="Q228" s="171"/>
      <c r="R228" s="168"/>
      <c r="S228" s="94"/>
    </row>
    <row r="229" s="92" customFormat="1" ht="23" customHeight="1" spans="1:19">
      <c r="A229" s="168"/>
      <c r="B229" s="168"/>
      <c r="C229" s="168"/>
      <c r="D229" s="168"/>
      <c r="E229" s="168"/>
      <c r="F229" s="168"/>
      <c r="G229" s="168"/>
      <c r="H229" s="168"/>
      <c r="I229" s="168"/>
      <c r="J229" s="168"/>
      <c r="K229" s="168"/>
      <c r="L229" s="167" t="s">
        <v>1285</v>
      </c>
      <c r="M229" s="167">
        <f t="shared" si="6"/>
        <v>120</v>
      </c>
      <c r="N229" s="167">
        <v>4</v>
      </c>
      <c r="O229" s="168"/>
      <c r="P229" s="168"/>
      <c r="Q229" s="171"/>
      <c r="R229" s="168"/>
      <c r="S229" s="94"/>
    </row>
    <row r="230" s="92" customFormat="1" ht="23" customHeight="1" spans="1:19">
      <c r="A230" s="168"/>
      <c r="B230" s="168"/>
      <c r="C230" s="168"/>
      <c r="D230" s="168"/>
      <c r="E230" s="168"/>
      <c r="F230" s="168"/>
      <c r="G230" s="168"/>
      <c r="H230" s="168"/>
      <c r="I230" s="168"/>
      <c r="J230" s="168"/>
      <c r="K230" s="168"/>
      <c r="L230" s="167" t="s">
        <v>88</v>
      </c>
      <c r="M230" s="167">
        <f t="shared" si="6"/>
        <v>124</v>
      </c>
      <c r="N230" s="167">
        <v>4</v>
      </c>
      <c r="O230" s="168"/>
      <c r="P230" s="168"/>
      <c r="Q230" s="171"/>
      <c r="R230" s="168"/>
      <c r="S230" s="94"/>
    </row>
    <row r="231" s="92" customFormat="1" ht="23" customHeight="1" spans="1:19">
      <c r="A231" s="168"/>
      <c r="B231" s="168"/>
      <c r="C231" s="168"/>
      <c r="D231" s="168"/>
      <c r="E231" s="168"/>
      <c r="F231" s="168"/>
      <c r="G231" s="168"/>
      <c r="H231" s="168"/>
      <c r="I231" s="168"/>
      <c r="J231" s="168"/>
      <c r="K231" s="168"/>
      <c r="L231" s="167" t="s">
        <v>1286</v>
      </c>
      <c r="M231" s="167">
        <f t="shared" si="6"/>
        <v>128</v>
      </c>
      <c r="N231" s="167">
        <v>4</v>
      </c>
      <c r="O231" s="168"/>
      <c r="P231" s="168"/>
      <c r="Q231" s="171"/>
      <c r="R231" s="168"/>
      <c r="S231" s="94"/>
    </row>
    <row r="232" s="92" customFormat="1" ht="23" customHeight="1" spans="1:19">
      <c r="A232" s="168"/>
      <c r="B232" s="168"/>
      <c r="C232" s="168"/>
      <c r="D232" s="168"/>
      <c r="E232" s="168"/>
      <c r="F232" s="168"/>
      <c r="G232" s="168"/>
      <c r="H232" s="168"/>
      <c r="I232" s="168"/>
      <c r="J232" s="168"/>
      <c r="K232" s="168"/>
      <c r="L232" s="167" t="s">
        <v>1287</v>
      </c>
      <c r="M232" s="167">
        <f t="shared" si="6"/>
        <v>132</v>
      </c>
      <c r="N232" s="167">
        <v>4</v>
      </c>
      <c r="O232" s="168"/>
      <c r="P232" s="168"/>
      <c r="Q232" s="171"/>
      <c r="R232" s="168"/>
      <c r="S232" s="94"/>
    </row>
    <row r="233" s="92" customFormat="1" ht="23" customHeight="1" spans="1:19">
      <c r="A233" s="168"/>
      <c r="B233" s="168"/>
      <c r="C233" s="168"/>
      <c r="D233" s="168"/>
      <c r="E233" s="168"/>
      <c r="F233" s="168"/>
      <c r="G233" s="168"/>
      <c r="H233" s="168"/>
      <c r="I233" s="168"/>
      <c r="J233" s="168"/>
      <c r="K233" s="168"/>
      <c r="L233" s="167" t="s">
        <v>1288</v>
      </c>
      <c r="M233" s="167">
        <f t="shared" si="6"/>
        <v>136</v>
      </c>
      <c r="N233" s="167">
        <v>4</v>
      </c>
      <c r="O233" s="168"/>
      <c r="P233" s="168"/>
      <c r="Q233" s="171"/>
      <c r="R233" s="168"/>
      <c r="S233" s="94"/>
    </row>
    <row r="234" s="92" customFormat="1" ht="23" customHeight="1" spans="1:19">
      <c r="A234" s="168"/>
      <c r="B234" s="168"/>
      <c r="C234" s="168"/>
      <c r="D234" s="168"/>
      <c r="E234" s="168"/>
      <c r="F234" s="168"/>
      <c r="G234" s="168"/>
      <c r="H234" s="168"/>
      <c r="I234" s="168"/>
      <c r="J234" s="168"/>
      <c r="K234" s="168"/>
      <c r="L234" s="167" t="s">
        <v>1289</v>
      </c>
      <c r="M234" s="167">
        <f t="shared" si="6"/>
        <v>140</v>
      </c>
      <c r="N234" s="167">
        <v>4</v>
      </c>
      <c r="O234" s="168"/>
      <c r="P234" s="168"/>
      <c r="Q234" s="171"/>
      <c r="R234" s="168"/>
      <c r="S234" s="94"/>
    </row>
    <row r="235" s="92" customFormat="1" ht="23" customHeight="1" spans="1:19">
      <c r="A235" s="168"/>
      <c r="B235" s="168"/>
      <c r="C235" s="168"/>
      <c r="D235" s="168"/>
      <c r="E235" s="168"/>
      <c r="F235" s="168"/>
      <c r="G235" s="168"/>
      <c r="H235" s="168"/>
      <c r="I235" s="168"/>
      <c r="J235" s="168"/>
      <c r="K235" s="168"/>
      <c r="L235" s="167" t="s">
        <v>88</v>
      </c>
      <c r="M235" s="167">
        <f t="shared" si="6"/>
        <v>144</v>
      </c>
      <c r="N235" s="167">
        <v>4</v>
      </c>
      <c r="O235" s="168"/>
      <c r="P235" s="168"/>
      <c r="Q235" s="171"/>
      <c r="R235" s="168"/>
      <c r="S235" s="94"/>
    </row>
    <row r="236" s="92" customFormat="1" ht="23" customHeight="1" spans="1:19">
      <c r="A236" s="168"/>
      <c r="B236" s="168"/>
      <c r="C236" s="168"/>
      <c r="D236" s="168"/>
      <c r="E236" s="168"/>
      <c r="F236" s="168"/>
      <c r="G236" s="168"/>
      <c r="H236" s="168"/>
      <c r="I236" s="168"/>
      <c r="J236" s="168"/>
      <c r="K236" s="168"/>
      <c r="L236" s="167" t="s">
        <v>33</v>
      </c>
      <c r="M236" s="167">
        <f t="shared" si="6"/>
        <v>148</v>
      </c>
      <c r="N236" s="167">
        <v>4</v>
      </c>
      <c r="O236" s="168"/>
      <c r="P236" s="168"/>
      <c r="Q236" s="171"/>
      <c r="R236" s="168"/>
      <c r="S236" s="94"/>
    </row>
    <row r="237" s="92" customFormat="1" ht="23" customHeight="1" spans="1:19">
      <c r="A237" s="168"/>
      <c r="B237" s="168"/>
      <c r="C237" s="168"/>
      <c r="D237" s="168"/>
      <c r="E237" s="168"/>
      <c r="F237" s="168"/>
      <c r="G237" s="168"/>
      <c r="H237" s="168"/>
      <c r="I237" s="168"/>
      <c r="J237" s="168"/>
      <c r="K237" s="168"/>
      <c r="L237" s="167" t="s">
        <v>34</v>
      </c>
      <c r="M237" s="167">
        <f t="shared" si="6"/>
        <v>152</v>
      </c>
      <c r="N237" s="167">
        <v>4</v>
      </c>
      <c r="O237" s="168"/>
      <c r="P237" s="168"/>
      <c r="Q237" s="171"/>
      <c r="R237" s="168"/>
      <c r="S237" s="94"/>
    </row>
    <row r="238" s="92" customFormat="1" ht="23" customHeight="1" spans="1:19">
      <c r="A238" s="168" t="s">
        <v>1441</v>
      </c>
      <c r="B238" s="168" t="s">
        <v>1442</v>
      </c>
      <c r="C238" s="168" t="s">
        <v>1435</v>
      </c>
      <c r="D238" s="168"/>
      <c r="E238" s="168" t="s">
        <v>1415</v>
      </c>
      <c r="F238" s="168" t="s">
        <v>1416</v>
      </c>
      <c r="G238" s="168" t="s">
        <v>1345</v>
      </c>
      <c r="H238" s="168" t="s">
        <v>1443</v>
      </c>
      <c r="I238" s="168" t="s">
        <v>1418</v>
      </c>
      <c r="J238" s="168">
        <v>7089</v>
      </c>
      <c r="K238" s="168" t="s">
        <v>1264</v>
      </c>
      <c r="L238" s="167" t="s">
        <v>87</v>
      </c>
      <c r="M238" s="167">
        <v>0</v>
      </c>
      <c r="N238" s="167">
        <v>4</v>
      </c>
      <c r="O238" s="168">
        <v>100</v>
      </c>
      <c r="P238" s="168" t="s">
        <v>1437</v>
      </c>
      <c r="Q238" s="171"/>
      <c r="R238" s="168" t="s">
        <v>1416</v>
      </c>
      <c r="S238" s="94"/>
    </row>
    <row r="239" s="92" customFormat="1" ht="23" customHeight="1" spans="1:19">
      <c r="A239" s="168"/>
      <c r="B239" s="168"/>
      <c r="C239" s="168"/>
      <c r="D239" s="168"/>
      <c r="E239" s="168"/>
      <c r="F239" s="168"/>
      <c r="G239" s="168"/>
      <c r="H239" s="168"/>
      <c r="I239" s="168"/>
      <c r="J239" s="168"/>
      <c r="K239" s="168"/>
      <c r="L239" s="167" t="s">
        <v>88</v>
      </c>
      <c r="M239" s="167">
        <f t="shared" ref="M238:M276" si="7">M238+N238</f>
        <v>4</v>
      </c>
      <c r="N239" s="167">
        <v>4</v>
      </c>
      <c r="O239" s="168"/>
      <c r="P239" s="168"/>
      <c r="Q239" s="171"/>
      <c r="R239" s="168"/>
      <c r="S239" s="94"/>
    </row>
    <row r="240" s="92" customFormat="1" ht="23" customHeight="1" spans="1:19">
      <c r="A240" s="168"/>
      <c r="B240" s="168"/>
      <c r="C240" s="168"/>
      <c r="D240" s="168"/>
      <c r="E240" s="168"/>
      <c r="F240" s="168"/>
      <c r="G240" s="168"/>
      <c r="H240" s="168"/>
      <c r="I240" s="168"/>
      <c r="J240" s="168"/>
      <c r="K240" s="168"/>
      <c r="L240" s="167" t="s">
        <v>1265</v>
      </c>
      <c r="M240" s="167">
        <f t="shared" si="7"/>
        <v>8</v>
      </c>
      <c r="N240" s="167">
        <v>4</v>
      </c>
      <c r="O240" s="168"/>
      <c r="P240" s="168"/>
      <c r="Q240" s="171"/>
      <c r="R240" s="168"/>
      <c r="S240" s="94"/>
    </row>
    <row r="241" s="92" customFormat="1" ht="23" customHeight="1" spans="1:19">
      <c r="A241" s="168"/>
      <c r="B241" s="168"/>
      <c r="C241" s="168"/>
      <c r="D241" s="168" t="s">
        <v>202</v>
      </c>
      <c r="E241" s="168"/>
      <c r="F241" s="168"/>
      <c r="G241" s="168"/>
      <c r="H241" s="168"/>
      <c r="I241" s="168"/>
      <c r="J241" s="168"/>
      <c r="K241" s="168"/>
      <c r="L241" s="167" t="s">
        <v>1247</v>
      </c>
      <c r="M241" s="167">
        <f t="shared" si="7"/>
        <v>12</v>
      </c>
      <c r="N241" s="167">
        <v>4</v>
      </c>
      <c r="O241" s="168"/>
      <c r="P241" s="168"/>
      <c r="Q241" s="171" t="s">
        <v>1420</v>
      </c>
      <c r="R241" s="168"/>
      <c r="S241" s="94"/>
    </row>
    <row r="242" s="92" customFormat="1" ht="23" customHeight="1" spans="1:19">
      <c r="A242" s="168"/>
      <c r="B242" s="168"/>
      <c r="C242" s="168"/>
      <c r="D242" s="168"/>
      <c r="E242" s="168"/>
      <c r="F242" s="168"/>
      <c r="G242" s="168"/>
      <c r="H242" s="168"/>
      <c r="I242" s="168"/>
      <c r="J242" s="168"/>
      <c r="K242" s="168"/>
      <c r="L242" s="167" t="s">
        <v>1266</v>
      </c>
      <c r="M242" s="167">
        <f t="shared" si="7"/>
        <v>16</v>
      </c>
      <c r="N242" s="167">
        <v>4</v>
      </c>
      <c r="O242" s="168"/>
      <c r="P242" s="168"/>
      <c r="Q242" s="171"/>
      <c r="R242" s="168"/>
      <c r="S242" s="94"/>
    </row>
    <row r="243" s="92" customFormat="1" ht="23" customHeight="1" spans="1:19">
      <c r="A243" s="168"/>
      <c r="B243" s="168"/>
      <c r="C243" s="168"/>
      <c r="D243" s="168"/>
      <c r="E243" s="168"/>
      <c r="F243" s="168"/>
      <c r="G243" s="168"/>
      <c r="H243" s="168"/>
      <c r="I243" s="168"/>
      <c r="J243" s="168"/>
      <c r="K243" s="168"/>
      <c r="L243" s="167" t="s">
        <v>1267</v>
      </c>
      <c r="M243" s="167">
        <f t="shared" si="7"/>
        <v>20</v>
      </c>
      <c r="N243" s="167">
        <v>4</v>
      </c>
      <c r="O243" s="168"/>
      <c r="P243" s="168"/>
      <c r="Q243" s="171"/>
      <c r="R243" s="168"/>
      <c r="S243" s="94"/>
    </row>
    <row r="244" s="92" customFormat="1" ht="23" customHeight="1" spans="1:19">
      <c r="A244" s="168"/>
      <c r="B244" s="168"/>
      <c r="C244" s="168"/>
      <c r="D244" s="168"/>
      <c r="E244" s="168"/>
      <c r="F244" s="168"/>
      <c r="G244" s="168"/>
      <c r="H244" s="168"/>
      <c r="I244" s="168"/>
      <c r="J244" s="168"/>
      <c r="K244" s="168"/>
      <c r="L244" s="167" t="s">
        <v>88</v>
      </c>
      <c r="M244" s="167">
        <f t="shared" si="7"/>
        <v>24</v>
      </c>
      <c r="N244" s="167">
        <v>4</v>
      </c>
      <c r="O244" s="168"/>
      <c r="P244" s="168"/>
      <c r="Q244" s="171"/>
      <c r="R244" s="168"/>
      <c r="S244" s="94"/>
    </row>
    <row r="245" s="92" customFormat="1" ht="23" customHeight="1" spans="1:19">
      <c r="A245" s="168"/>
      <c r="B245" s="168"/>
      <c r="C245" s="168"/>
      <c r="D245" s="168"/>
      <c r="E245" s="168"/>
      <c r="F245" s="168"/>
      <c r="G245" s="168"/>
      <c r="H245" s="168"/>
      <c r="I245" s="168"/>
      <c r="J245" s="168"/>
      <c r="K245" s="168"/>
      <c r="L245" s="167" t="s">
        <v>1268</v>
      </c>
      <c r="M245" s="167">
        <f t="shared" si="7"/>
        <v>28</v>
      </c>
      <c r="N245" s="167">
        <v>4</v>
      </c>
      <c r="O245" s="168"/>
      <c r="P245" s="168"/>
      <c r="Q245" s="171"/>
      <c r="R245" s="168"/>
      <c r="S245" s="94"/>
    </row>
    <row r="246" s="92" customFormat="1" ht="23" customHeight="1" spans="1:19">
      <c r="A246" s="168"/>
      <c r="B246" s="168"/>
      <c r="C246" s="168"/>
      <c r="D246" s="168"/>
      <c r="E246" s="168"/>
      <c r="F246" s="168"/>
      <c r="G246" s="168"/>
      <c r="H246" s="168"/>
      <c r="I246" s="168"/>
      <c r="J246" s="168"/>
      <c r="K246" s="168"/>
      <c r="L246" s="167" t="s">
        <v>1269</v>
      </c>
      <c r="M246" s="167">
        <f t="shared" si="7"/>
        <v>32</v>
      </c>
      <c r="N246" s="167">
        <v>4</v>
      </c>
      <c r="O246" s="168"/>
      <c r="P246" s="168"/>
      <c r="Q246" s="171"/>
      <c r="R246" s="168"/>
      <c r="S246" s="94"/>
    </row>
    <row r="247" s="92" customFormat="1" ht="23" customHeight="1" spans="1:19">
      <c r="A247" s="168"/>
      <c r="B247" s="168"/>
      <c r="C247" s="168"/>
      <c r="D247" s="168" t="s">
        <v>202</v>
      </c>
      <c r="E247" s="168"/>
      <c r="F247" s="168"/>
      <c r="G247" s="168"/>
      <c r="H247" s="168"/>
      <c r="I247" s="168"/>
      <c r="J247" s="168"/>
      <c r="K247" s="168"/>
      <c r="L247" s="167" t="s">
        <v>1270</v>
      </c>
      <c r="M247" s="167">
        <f t="shared" si="7"/>
        <v>36</v>
      </c>
      <c r="N247" s="167">
        <v>4</v>
      </c>
      <c r="O247" s="168"/>
      <c r="P247" s="168"/>
      <c r="Q247" s="171" t="s">
        <v>1420</v>
      </c>
      <c r="R247" s="168"/>
      <c r="S247" s="94"/>
    </row>
    <row r="248" s="92" customFormat="1" ht="23" customHeight="1" spans="1:19">
      <c r="A248" s="168"/>
      <c r="B248" s="168"/>
      <c r="C248" s="168"/>
      <c r="D248" s="168" t="s">
        <v>202</v>
      </c>
      <c r="E248" s="168"/>
      <c r="F248" s="168"/>
      <c r="G248" s="168"/>
      <c r="H248" s="168"/>
      <c r="I248" s="168"/>
      <c r="J248" s="168"/>
      <c r="K248" s="168"/>
      <c r="L248" s="167" t="s">
        <v>1271</v>
      </c>
      <c r="M248" s="167">
        <f t="shared" si="7"/>
        <v>40</v>
      </c>
      <c r="N248" s="167">
        <v>4</v>
      </c>
      <c r="O248" s="168"/>
      <c r="P248" s="168"/>
      <c r="Q248" s="171" t="s">
        <v>1420</v>
      </c>
      <c r="R248" s="168"/>
      <c r="S248" s="94"/>
    </row>
    <row r="249" s="92" customFormat="1" ht="23" customHeight="1" spans="1:19">
      <c r="A249" s="168"/>
      <c r="B249" s="168"/>
      <c r="C249" s="168"/>
      <c r="D249" s="168"/>
      <c r="E249" s="168"/>
      <c r="F249" s="168"/>
      <c r="G249" s="168"/>
      <c r="H249" s="168"/>
      <c r="I249" s="168"/>
      <c r="J249" s="168"/>
      <c r="K249" s="168"/>
      <c r="L249" s="167" t="s">
        <v>88</v>
      </c>
      <c r="M249" s="167">
        <f t="shared" si="7"/>
        <v>44</v>
      </c>
      <c r="N249" s="167">
        <v>4</v>
      </c>
      <c r="O249" s="168"/>
      <c r="P249" s="168"/>
      <c r="Q249" s="171"/>
      <c r="R249" s="168"/>
      <c r="S249" s="94"/>
    </row>
    <row r="250" s="92" customFormat="1" ht="23" customHeight="1" spans="1:19">
      <c r="A250" s="168"/>
      <c r="B250" s="168"/>
      <c r="C250" s="168"/>
      <c r="D250" s="168"/>
      <c r="E250" s="168"/>
      <c r="F250" s="168"/>
      <c r="G250" s="168"/>
      <c r="H250" s="168"/>
      <c r="I250" s="168"/>
      <c r="J250" s="168"/>
      <c r="K250" s="168"/>
      <c r="L250" s="167" t="s">
        <v>1272</v>
      </c>
      <c r="M250" s="167">
        <f t="shared" si="7"/>
        <v>48</v>
      </c>
      <c r="N250" s="167">
        <v>4</v>
      </c>
      <c r="O250" s="168"/>
      <c r="P250" s="168"/>
      <c r="Q250" s="171"/>
      <c r="R250" s="168"/>
      <c r="S250" s="94"/>
    </row>
    <row r="251" s="92" customFormat="1" ht="23" customHeight="1" spans="1:19">
      <c r="A251" s="168"/>
      <c r="B251" s="168"/>
      <c r="C251" s="168"/>
      <c r="D251" s="168"/>
      <c r="E251" s="168"/>
      <c r="F251" s="168"/>
      <c r="G251" s="168"/>
      <c r="H251" s="168"/>
      <c r="I251" s="168"/>
      <c r="J251" s="168"/>
      <c r="K251" s="168"/>
      <c r="L251" s="167" t="s">
        <v>1273</v>
      </c>
      <c r="M251" s="167">
        <f t="shared" si="7"/>
        <v>52</v>
      </c>
      <c r="N251" s="167">
        <v>4</v>
      </c>
      <c r="O251" s="168"/>
      <c r="P251" s="168"/>
      <c r="Q251" s="171"/>
      <c r="R251" s="168"/>
      <c r="S251" s="94"/>
    </row>
    <row r="252" s="92" customFormat="1" ht="23" customHeight="1" spans="1:19">
      <c r="A252" s="168"/>
      <c r="B252" s="168"/>
      <c r="C252" s="168"/>
      <c r="D252" s="168"/>
      <c r="E252" s="168"/>
      <c r="F252" s="168"/>
      <c r="G252" s="168"/>
      <c r="H252" s="168"/>
      <c r="I252" s="168"/>
      <c r="J252" s="168"/>
      <c r="K252" s="168"/>
      <c r="L252" s="167" t="s">
        <v>1274</v>
      </c>
      <c r="M252" s="167">
        <f t="shared" si="7"/>
        <v>56</v>
      </c>
      <c r="N252" s="167">
        <v>4</v>
      </c>
      <c r="O252" s="168"/>
      <c r="P252" s="168"/>
      <c r="Q252" s="171"/>
      <c r="R252" s="168"/>
      <c r="S252" s="94"/>
    </row>
    <row r="253" s="92" customFormat="1" ht="23" customHeight="1" spans="1:19">
      <c r="A253" s="168"/>
      <c r="B253" s="168"/>
      <c r="C253" s="168"/>
      <c r="D253" s="168"/>
      <c r="E253" s="168"/>
      <c r="F253" s="168"/>
      <c r="G253" s="168"/>
      <c r="H253" s="168"/>
      <c r="I253" s="168"/>
      <c r="J253" s="168"/>
      <c r="K253" s="168"/>
      <c r="L253" s="167" t="s">
        <v>1275</v>
      </c>
      <c r="M253" s="167">
        <f t="shared" si="7"/>
        <v>60</v>
      </c>
      <c r="N253" s="167">
        <v>4</v>
      </c>
      <c r="O253" s="168"/>
      <c r="P253" s="168"/>
      <c r="Q253" s="171"/>
      <c r="R253" s="168"/>
      <c r="S253" s="94"/>
    </row>
    <row r="254" s="92" customFormat="1" ht="23" customHeight="1" spans="1:19">
      <c r="A254" s="168"/>
      <c r="B254" s="168"/>
      <c r="C254" s="168"/>
      <c r="D254" s="168"/>
      <c r="E254" s="168"/>
      <c r="F254" s="168"/>
      <c r="G254" s="168"/>
      <c r="H254" s="168"/>
      <c r="I254" s="168"/>
      <c r="J254" s="168"/>
      <c r="K254" s="168"/>
      <c r="L254" s="167" t="s">
        <v>88</v>
      </c>
      <c r="M254" s="167">
        <f t="shared" si="7"/>
        <v>64</v>
      </c>
      <c r="N254" s="167">
        <v>4</v>
      </c>
      <c r="O254" s="168"/>
      <c r="P254" s="168"/>
      <c r="Q254" s="171"/>
      <c r="R254" s="168"/>
      <c r="S254" s="94"/>
    </row>
    <row r="255" s="92" customFormat="1" ht="23" customHeight="1" spans="1:19">
      <c r="A255" s="168"/>
      <c r="B255" s="168"/>
      <c r="C255" s="168"/>
      <c r="D255" s="168"/>
      <c r="E255" s="168"/>
      <c r="F255" s="168"/>
      <c r="G255" s="168"/>
      <c r="H255" s="168"/>
      <c r="I255" s="168"/>
      <c r="J255" s="168"/>
      <c r="K255" s="168"/>
      <c r="L255" s="167" t="s">
        <v>1276</v>
      </c>
      <c r="M255" s="167">
        <f t="shared" si="7"/>
        <v>68</v>
      </c>
      <c r="N255" s="167">
        <v>4</v>
      </c>
      <c r="O255" s="168"/>
      <c r="P255" s="168"/>
      <c r="Q255" s="171"/>
      <c r="R255" s="168"/>
      <c r="S255" s="94"/>
    </row>
    <row r="256" s="92" customFormat="1" ht="23" customHeight="1" spans="1:19">
      <c r="A256" s="168"/>
      <c r="B256" s="168"/>
      <c r="C256" s="168"/>
      <c r="D256" s="168" t="s">
        <v>202</v>
      </c>
      <c r="E256" s="168"/>
      <c r="F256" s="168"/>
      <c r="G256" s="168"/>
      <c r="H256" s="168"/>
      <c r="I256" s="168"/>
      <c r="J256" s="168"/>
      <c r="K256" s="168"/>
      <c r="L256" s="167" t="s">
        <v>1277</v>
      </c>
      <c r="M256" s="167">
        <f t="shared" si="7"/>
        <v>72</v>
      </c>
      <c r="N256" s="167">
        <v>4</v>
      </c>
      <c r="O256" s="168"/>
      <c r="P256" s="168"/>
      <c r="Q256" s="171" t="s">
        <v>1420</v>
      </c>
      <c r="R256" s="168"/>
      <c r="S256" s="94"/>
    </row>
    <row r="257" s="92" customFormat="1" ht="23" customHeight="1" spans="1:19">
      <c r="A257" s="168"/>
      <c r="B257" s="168"/>
      <c r="C257" s="168"/>
      <c r="D257" s="168" t="s">
        <v>202</v>
      </c>
      <c r="E257" s="168"/>
      <c r="F257" s="168"/>
      <c r="G257" s="168"/>
      <c r="H257" s="168"/>
      <c r="I257" s="168"/>
      <c r="J257" s="168"/>
      <c r="K257" s="168"/>
      <c r="L257" s="167" t="s">
        <v>1278</v>
      </c>
      <c r="M257" s="167">
        <f t="shared" si="7"/>
        <v>76</v>
      </c>
      <c r="N257" s="167">
        <v>4</v>
      </c>
      <c r="O257" s="168"/>
      <c r="P257" s="168"/>
      <c r="Q257" s="171" t="s">
        <v>1420</v>
      </c>
      <c r="R257" s="168"/>
      <c r="S257" s="94"/>
    </row>
    <row r="258" s="92" customFormat="1" ht="23" customHeight="1" spans="1:19">
      <c r="A258" s="168"/>
      <c r="B258" s="168"/>
      <c r="C258" s="168"/>
      <c r="D258" s="168" t="s">
        <v>202</v>
      </c>
      <c r="E258" s="168"/>
      <c r="F258" s="168"/>
      <c r="G258" s="168"/>
      <c r="H258" s="168"/>
      <c r="I258" s="168"/>
      <c r="J258" s="168"/>
      <c r="K258" s="168"/>
      <c r="L258" s="167" t="s">
        <v>1279</v>
      </c>
      <c r="M258" s="167">
        <f t="shared" si="7"/>
        <v>80</v>
      </c>
      <c r="N258" s="167">
        <v>4</v>
      </c>
      <c r="O258" s="168"/>
      <c r="P258" s="168"/>
      <c r="Q258" s="171" t="s">
        <v>1420</v>
      </c>
      <c r="R258" s="168"/>
      <c r="S258" s="94"/>
    </row>
    <row r="259" s="92" customFormat="1" ht="23" customHeight="1" spans="1:19">
      <c r="A259" s="168"/>
      <c r="B259" s="168"/>
      <c r="C259" s="168"/>
      <c r="D259" s="168"/>
      <c r="E259" s="168"/>
      <c r="F259" s="168"/>
      <c r="G259" s="168"/>
      <c r="H259" s="168"/>
      <c r="I259" s="168"/>
      <c r="J259" s="168"/>
      <c r="K259" s="168"/>
      <c r="L259" s="167" t="s">
        <v>88</v>
      </c>
      <c r="M259" s="167">
        <f t="shared" si="7"/>
        <v>84</v>
      </c>
      <c r="N259" s="167">
        <v>4</v>
      </c>
      <c r="O259" s="168"/>
      <c r="P259" s="168"/>
      <c r="Q259" s="171"/>
      <c r="R259" s="168"/>
      <c r="S259" s="94"/>
    </row>
    <row r="260" s="92" customFormat="1" ht="23" customHeight="1" spans="1:19">
      <c r="A260" s="168"/>
      <c r="B260" s="168"/>
      <c r="C260" s="168"/>
      <c r="D260" s="168" t="s">
        <v>202</v>
      </c>
      <c r="E260" s="168"/>
      <c r="F260" s="168"/>
      <c r="G260" s="168"/>
      <c r="H260" s="168"/>
      <c r="I260" s="168"/>
      <c r="J260" s="168"/>
      <c r="K260" s="168"/>
      <c r="L260" s="167" t="s">
        <v>1280</v>
      </c>
      <c r="M260" s="167">
        <f t="shared" si="7"/>
        <v>88</v>
      </c>
      <c r="N260" s="167">
        <v>4</v>
      </c>
      <c r="O260" s="168"/>
      <c r="P260" s="168"/>
      <c r="Q260" s="171" t="s">
        <v>1420</v>
      </c>
      <c r="R260" s="168"/>
      <c r="S260" s="94"/>
    </row>
    <row r="261" s="92" customFormat="1" ht="23" customHeight="1" spans="1:19">
      <c r="A261" s="168"/>
      <c r="B261" s="168"/>
      <c r="C261" s="168"/>
      <c r="D261" s="168"/>
      <c r="E261" s="168"/>
      <c r="F261" s="168"/>
      <c r="G261" s="168"/>
      <c r="H261" s="168"/>
      <c r="I261" s="168"/>
      <c r="J261" s="168"/>
      <c r="K261" s="168"/>
      <c r="L261" s="167" t="s">
        <v>207</v>
      </c>
      <c r="M261" s="167">
        <f t="shared" si="7"/>
        <v>92</v>
      </c>
      <c r="N261" s="167">
        <v>4</v>
      </c>
      <c r="O261" s="168"/>
      <c r="P261" s="168"/>
      <c r="Q261" s="171"/>
      <c r="R261" s="168"/>
      <c r="S261" s="94"/>
    </row>
    <row r="262" s="92" customFormat="1" ht="23" customHeight="1" spans="1:19">
      <c r="A262" s="168"/>
      <c r="B262" s="168"/>
      <c r="C262" s="168"/>
      <c r="D262" s="168"/>
      <c r="E262" s="168"/>
      <c r="F262" s="168"/>
      <c r="G262" s="168"/>
      <c r="H262" s="168"/>
      <c r="I262" s="168"/>
      <c r="J262" s="168"/>
      <c r="K262" s="168"/>
      <c r="L262" s="167" t="s">
        <v>1260</v>
      </c>
      <c r="M262" s="167">
        <f t="shared" si="7"/>
        <v>96</v>
      </c>
      <c r="N262" s="167">
        <v>4</v>
      </c>
      <c r="O262" s="168"/>
      <c r="P262" s="168"/>
      <c r="Q262" s="171"/>
      <c r="R262" s="168"/>
      <c r="S262" s="94"/>
    </row>
    <row r="263" s="92" customFormat="1" ht="23" customHeight="1" spans="1:19">
      <c r="A263" s="168"/>
      <c r="B263" s="168"/>
      <c r="C263" s="168"/>
      <c r="D263" s="168"/>
      <c r="E263" s="168"/>
      <c r="F263" s="168"/>
      <c r="G263" s="168"/>
      <c r="H263" s="168"/>
      <c r="I263" s="168"/>
      <c r="J263" s="168"/>
      <c r="K263" s="168"/>
      <c r="L263" s="167" t="s">
        <v>1281</v>
      </c>
      <c r="M263" s="167">
        <f t="shared" si="7"/>
        <v>100</v>
      </c>
      <c r="N263" s="167">
        <v>4</v>
      </c>
      <c r="O263" s="168"/>
      <c r="P263" s="168"/>
      <c r="Q263" s="171"/>
      <c r="R263" s="168"/>
      <c r="S263" s="94"/>
    </row>
    <row r="264" s="92" customFormat="1" ht="23" customHeight="1" spans="1:19">
      <c r="A264" s="168"/>
      <c r="B264" s="168"/>
      <c r="C264" s="168"/>
      <c r="D264" s="168"/>
      <c r="E264" s="168"/>
      <c r="F264" s="168"/>
      <c r="G264" s="168"/>
      <c r="H264" s="168"/>
      <c r="I264" s="168"/>
      <c r="J264" s="168"/>
      <c r="K264" s="168"/>
      <c r="L264" s="167" t="s">
        <v>88</v>
      </c>
      <c r="M264" s="167">
        <f t="shared" si="7"/>
        <v>104</v>
      </c>
      <c r="N264" s="167">
        <v>4</v>
      </c>
      <c r="O264" s="168"/>
      <c r="P264" s="168"/>
      <c r="Q264" s="171"/>
      <c r="R264" s="168"/>
      <c r="S264" s="94"/>
    </row>
    <row r="265" s="92" customFormat="1" ht="23" customHeight="1" spans="1:19">
      <c r="A265" s="168"/>
      <c r="B265" s="168"/>
      <c r="C265" s="168"/>
      <c r="D265" s="168"/>
      <c r="E265" s="168"/>
      <c r="F265" s="168"/>
      <c r="G265" s="168"/>
      <c r="H265" s="168"/>
      <c r="I265" s="168"/>
      <c r="J265" s="168"/>
      <c r="K265" s="168"/>
      <c r="L265" s="167" t="s">
        <v>1282</v>
      </c>
      <c r="M265" s="167">
        <f t="shared" si="7"/>
        <v>108</v>
      </c>
      <c r="N265" s="167">
        <v>4</v>
      </c>
      <c r="O265" s="168"/>
      <c r="P265" s="168"/>
      <c r="Q265" s="171"/>
      <c r="R265" s="168"/>
      <c r="S265" s="94"/>
    </row>
    <row r="266" s="92" customFormat="1" ht="23" customHeight="1" spans="1:19">
      <c r="A266" s="168"/>
      <c r="B266" s="168"/>
      <c r="C266" s="168"/>
      <c r="D266" s="168"/>
      <c r="E266" s="168"/>
      <c r="F266" s="168"/>
      <c r="G266" s="168"/>
      <c r="H266" s="168"/>
      <c r="I266" s="168"/>
      <c r="J266" s="168"/>
      <c r="K266" s="168"/>
      <c r="L266" s="167" t="s">
        <v>1283</v>
      </c>
      <c r="M266" s="167">
        <f t="shared" si="7"/>
        <v>112</v>
      </c>
      <c r="N266" s="167">
        <v>4</v>
      </c>
      <c r="O266" s="168"/>
      <c r="P266" s="168"/>
      <c r="Q266" s="171"/>
      <c r="R266" s="168"/>
      <c r="S266" s="94"/>
    </row>
    <row r="267" s="92" customFormat="1" ht="23" customHeight="1" spans="1:19">
      <c r="A267" s="168"/>
      <c r="B267" s="168"/>
      <c r="C267" s="168"/>
      <c r="D267" s="168"/>
      <c r="E267" s="168"/>
      <c r="F267" s="168"/>
      <c r="G267" s="168"/>
      <c r="H267" s="168"/>
      <c r="I267" s="168"/>
      <c r="J267" s="168"/>
      <c r="K267" s="168"/>
      <c r="L267" s="167" t="s">
        <v>1284</v>
      </c>
      <c r="M267" s="167">
        <f t="shared" si="7"/>
        <v>116</v>
      </c>
      <c r="N267" s="167">
        <v>4</v>
      </c>
      <c r="O267" s="168"/>
      <c r="P267" s="168"/>
      <c r="Q267" s="171"/>
      <c r="R267" s="168"/>
      <c r="S267" s="94"/>
    </row>
    <row r="268" s="92" customFormat="1" ht="23" customHeight="1" spans="1:19">
      <c r="A268" s="168"/>
      <c r="B268" s="168"/>
      <c r="C268" s="168"/>
      <c r="D268" s="168"/>
      <c r="E268" s="168"/>
      <c r="F268" s="168"/>
      <c r="G268" s="168"/>
      <c r="H268" s="168"/>
      <c r="I268" s="168"/>
      <c r="J268" s="168"/>
      <c r="K268" s="168"/>
      <c r="L268" s="167" t="s">
        <v>1285</v>
      </c>
      <c r="M268" s="167">
        <f t="shared" si="7"/>
        <v>120</v>
      </c>
      <c r="N268" s="167">
        <v>4</v>
      </c>
      <c r="O268" s="168"/>
      <c r="P268" s="168"/>
      <c r="Q268" s="171"/>
      <c r="R268" s="168"/>
      <c r="S268" s="94"/>
    </row>
    <row r="269" s="92" customFormat="1" ht="23" customHeight="1" spans="1:19">
      <c r="A269" s="168"/>
      <c r="B269" s="168"/>
      <c r="C269" s="168"/>
      <c r="D269" s="168"/>
      <c r="E269" s="168"/>
      <c r="F269" s="168"/>
      <c r="G269" s="168"/>
      <c r="H269" s="168"/>
      <c r="I269" s="168"/>
      <c r="J269" s="168"/>
      <c r="K269" s="168"/>
      <c r="L269" s="167" t="s">
        <v>88</v>
      </c>
      <c r="M269" s="167">
        <f t="shared" si="7"/>
        <v>124</v>
      </c>
      <c r="N269" s="167">
        <v>4</v>
      </c>
      <c r="O269" s="168"/>
      <c r="P269" s="168"/>
      <c r="Q269" s="171"/>
      <c r="R269" s="168"/>
      <c r="S269" s="94"/>
    </row>
    <row r="270" s="92" customFormat="1" ht="23" customHeight="1" spans="1:19">
      <c r="A270" s="168"/>
      <c r="B270" s="168"/>
      <c r="C270" s="168"/>
      <c r="D270" s="168"/>
      <c r="E270" s="168"/>
      <c r="F270" s="168"/>
      <c r="G270" s="168"/>
      <c r="H270" s="168"/>
      <c r="I270" s="168"/>
      <c r="J270" s="168"/>
      <c r="K270" s="168"/>
      <c r="L270" s="167" t="s">
        <v>1286</v>
      </c>
      <c r="M270" s="167">
        <f t="shared" si="7"/>
        <v>128</v>
      </c>
      <c r="N270" s="167">
        <v>4</v>
      </c>
      <c r="O270" s="168"/>
      <c r="P270" s="168"/>
      <c r="Q270" s="171"/>
      <c r="R270" s="168"/>
      <c r="S270" s="94"/>
    </row>
    <row r="271" s="92" customFormat="1" ht="23" customHeight="1" spans="1:19">
      <c r="A271" s="168"/>
      <c r="B271" s="168"/>
      <c r="C271" s="168"/>
      <c r="D271" s="168"/>
      <c r="E271" s="168"/>
      <c r="F271" s="168"/>
      <c r="G271" s="168"/>
      <c r="H271" s="168"/>
      <c r="I271" s="168"/>
      <c r="J271" s="168"/>
      <c r="K271" s="168"/>
      <c r="L271" s="167" t="s">
        <v>1287</v>
      </c>
      <c r="M271" s="167">
        <f t="shared" si="7"/>
        <v>132</v>
      </c>
      <c r="N271" s="167">
        <v>4</v>
      </c>
      <c r="O271" s="168"/>
      <c r="P271" s="168"/>
      <c r="Q271" s="171"/>
      <c r="R271" s="168"/>
      <c r="S271" s="94"/>
    </row>
    <row r="272" s="92" customFormat="1" ht="23" customHeight="1" spans="1:19">
      <c r="A272" s="168"/>
      <c r="B272" s="168"/>
      <c r="C272" s="168"/>
      <c r="D272" s="168"/>
      <c r="E272" s="168"/>
      <c r="F272" s="168"/>
      <c r="G272" s="168"/>
      <c r="H272" s="168"/>
      <c r="I272" s="168"/>
      <c r="J272" s="168"/>
      <c r="K272" s="168"/>
      <c r="L272" s="167" t="s">
        <v>1288</v>
      </c>
      <c r="M272" s="167">
        <f t="shared" si="7"/>
        <v>136</v>
      </c>
      <c r="N272" s="167">
        <v>4</v>
      </c>
      <c r="O272" s="168"/>
      <c r="P272" s="168"/>
      <c r="Q272" s="171"/>
      <c r="R272" s="168"/>
      <c r="S272" s="94"/>
    </row>
    <row r="273" s="92" customFormat="1" ht="23" customHeight="1" spans="1:19">
      <c r="A273" s="168"/>
      <c r="B273" s="168"/>
      <c r="C273" s="168"/>
      <c r="D273" s="168"/>
      <c r="E273" s="168"/>
      <c r="F273" s="168"/>
      <c r="G273" s="168"/>
      <c r="H273" s="168"/>
      <c r="I273" s="168"/>
      <c r="J273" s="168"/>
      <c r="K273" s="168"/>
      <c r="L273" s="167" t="s">
        <v>1289</v>
      </c>
      <c r="M273" s="167">
        <f t="shared" si="7"/>
        <v>140</v>
      </c>
      <c r="N273" s="167">
        <v>4</v>
      </c>
      <c r="O273" s="168"/>
      <c r="P273" s="168"/>
      <c r="Q273" s="171"/>
      <c r="R273" s="168"/>
      <c r="S273" s="94"/>
    </row>
    <row r="274" s="92" customFormat="1" ht="23" customHeight="1" spans="1:19">
      <c r="A274" s="168"/>
      <c r="B274" s="168"/>
      <c r="C274" s="168"/>
      <c r="D274" s="168"/>
      <c r="E274" s="168"/>
      <c r="F274" s="168"/>
      <c r="G274" s="168"/>
      <c r="H274" s="168"/>
      <c r="I274" s="168"/>
      <c r="J274" s="168"/>
      <c r="K274" s="168"/>
      <c r="L274" s="167" t="s">
        <v>88</v>
      </c>
      <c r="M274" s="167">
        <f t="shared" si="7"/>
        <v>144</v>
      </c>
      <c r="N274" s="167">
        <v>4</v>
      </c>
      <c r="O274" s="168"/>
      <c r="P274" s="168"/>
      <c r="Q274" s="171"/>
      <c r="R274" s="168"/>
      <c r="S274" s="94"/>
    </row>
    <row r="275" s="92" customFormat="1" ht="23" customHeight="1" spans="1:19">
      <c r="A275" s="168"/>
      <c r="B275" s="168"/>
      <c r="C275" s="168"/>
      <c r="D275" s="168"/>
      <c r="E275" s="168"/>
      <c r="F275" s="168"/>
      <c r="G275" s="168"/>
      <c r="H275" s="168"/>
      <c r="I275" s="168"/>
      <c r="J275" s="168"/>
      <c r="K275" s="168"/>
      <c r="L275" s="167" t="s">
        <v>33</v>
      </c>
      <c r="M275" s="167">
        <f t="shared" si="7"/>
        <v>148</v>
      </c>
      <c r="N275" s="167">
        <v>4</v>
      </c>
      <c r="O275" s="168"/>
      <c r="P275" s="168"/>
      <c r="Q275" s="171"/>
      <c r="R275" s="168"/>
      <c r="S275" s="94"/>
    </row>
    <row r="276" s="92" customFormat="1" ht="23" customHeight="1" spans="1:19">
      <c r="A276" s="168"/>
      <c r="B276" s="168"/>
      <c r="C276" s="168"/>
      <c r="D276" s="168"/>
      <c r="E276" s="168"/>
      <c r="F276" s="168"/>
      <c r="G276" s="168"/>
      <c r="H276" s="168"/>
      <c r="I276" s="168"/>
      <c r="J276" s="168"/>
      <c r="K276" s="168"/>
      <c r="L276" s="167" t="s">
        <v>34</v>
      </c>
      <c r="M276" s="167">
        <f t="shared" si="7"/>
        <v>152</v>
      </c>
      <c r="N276" s="167">
        <v>4</v>
      </c>
      <c r="O276" s="168"/>
      <c r="P276" s="168"/>
      <c r="Q276" s="171"/>
      <c r="R276" s="168"/>
      <c r="S276" s="94"/>
    </row>
    <row r="277" s="92" customFormat="1" ht="23" customHeight="1" spans="1:19">
      <c r="A277" s="168" t="s">
        <v>1444</v>
      </c>
      <c r="B277" s="168" t="s">
        <v>1445</v>
      </c>
      <c r="C277" s="168" t="s">
        <v>1435</v>
      </c>
      <c r="D277" s="168"/>
      <c r="E277" s="168" t="s">
        <v>1415</v>
      </c>
      <c r="F277" s="168" t="s">
        <v>1416</v>
      </c>
      <c r="G277" s="168" t="s">
        <v>1345</v>
      </c>
      <c r="H277" s="168" t="s">
        <v>1440</v>
      </c>
      <c r="I277" s="168" t="s">
        <v>1418</v>
      </c>
      <c r="J277" s="168">
        <v>7090</v>
      </c>
      <c r="K277" s="168" t="s">
        <v>1264</v>
      </c>
      <c r="L277" s="167" t="s">
        <v>87</v>
      </c>
      <c r="M277" s="167">
        <v>0</v>
      </c>
      <c r="N277" s="167">
        <v>4</v>
      </c>
      <c r="O277" s="168">
        <v>100</v>
      </c>
      <c r="P277" s="168" t="s">
        <v>1437</v>
      </c>
      <c r="Q277" s="171"/>
      <c r="R277" s="168" t="s">
        <v>1416</v>
      </c>
      <c r="S277" s="94"/>
    </row>
    <row r="278" s="92" customFormat="1" ht="23" customHeight="1" spans="1:19">
      <c r="A278" s="168"/>
      <c r="B278" s="168"/>
      <c r="C278" s="168"/>
      <c r="D278" s="168"/>
      <c r="E278" s="168"/>
      <c r="F278" s="168"/>
      <c r="G278" s="168"/>
      <c r="H278" s="168"/>
      <c r="I278" s="168"/>
      <c r="J278" s="168"/>
      <c r="K278" s="168"/>
      <c r="L278" s="167" t="s">
        <v>88</v>
      </c>
      <c r="M278" s="167">
        <f t="shared" ref="M277:M315" si="8">M277+N277</f>
        <v>4</v>
      </c>
      <c r="N278" s="167">
        <v>4</v>
      </c>
      <c r="O278" s="168"/>
      <c r="P278" s="168"/>
      <c r="Q278" s="171"/>
      <c r="R278" s="168"/>
      <c r="S278" s="94"/>
    </row>
    <row r="279" s="92" customFormat="1" ht="23" customHeight="1" spans="1:19">
      <c r="A279" s="168"/>
      <c r="B279" s="168"/>
      <c r="C279" s="168"/>
      <c r="D279" s="168"/>
      <c r="E279" s="168"/>
      <c r="F279" s="168"/>
      <c r="G279" s="168"/>
      <c r="H279" s="168"/>
      <c r="I279" s="168"/>
      <c r="J279" s="168"/>
      <c r="K279" s="168"/>
      <c r="L279" s="167" t="s">
        <v>1265</v>
      </c>
      <c r="M279" s="167">
        <f t="shared" si="8"/>
        <v>8</v>
      </c>
      <c r="N279" s="167">
        <v>4</v>
      </c>
      <c r="O279" s="168"/>
      <c r="P279" s="168"/>
      <c r="Q279" s="171"/>
      <c r="R279" s="168"/>
      <c r="S279" s="94"/>
    </row>
    <row r="280" s="92" customFormat="1" ht="23" customHeight="1" spans="1:19">
      <c r="A280" s="168"/>
      <c r="B280" s="168"/>
      <c r="C280" s="168"/>
      <c r="D280" s="168" t="s">
        <v>202</v>
      </c>
      <c r="E280" s="168"/>
      <c r="F280" s="168"/>
      <c r="G280" s="168"/>
      <c r="H280" s="168"/>
      <c r="I280" s="168"/>
      <c r="J280" s="168"/>
      <c r="K280" s="168"/>
      <c r="L280" s="167" t="s">
        <v>1247</v>
      </c>
      <c r="M280" s="167">
        <f t="shared" si="8"/>
        <v>12</v>
      </c>
      <c r="N280" s="167">
        <v>4</v>
      </c>
      <c r="O280" s="168"/>
      <c r="P280" s="168"/>
      <c r="Q280" s="171" t="s">
        <v>1420</v>
      </c>
      <c r="R280" s="168"/>
      <c r="S280" s="94"/>
    </row>
    <row r="281" s="92" customFormat="1" ht="23" customHeight="1" spans="1:19">
      <c r="A281" s="168"/>
      <c r="B281" s="168"/>
      <c r="C281" s="168"/>
      <c r="D281" s="168"/>
      <c r="E281" s="168"/>
      <c r="F281" s="168"/>
      <c r="G281" s="168"/>
      <c r="H281" s="168"/>
      <c r="I281" s="168"/>
      <c r="J281" s="168"/>
      <c r="K281" s="168"/>
      <c r="L281" s="167" t="s">
        <v>1266</v>
      </c>
      <c r="M281" s="167">
        <f t="shared" si="8"/>
        <v>16</v>
      </c>
      <c r="N281" s="167">
        <v>4</v>
      </c>
      <c r="O281" s="168"/>
      <c r="P281" s="168"/>
      <c r="Q281" s="171"/>
      <c r="R281" s="168"/>
      <c r="S281" s="94"/>
    </row>
    <row r="282" s="92" customFormat="1" ht="23" customHeight="1" spans="1:19">
      <c r="A282" s="168"/>
      <c r="B282" s="168"/>
      <c r="C282" s="168"/>
      <c r="D282" s="168"/>
      <c r="E282" s="168"/>
      <c r="F282" s="168"/>
      <c r="G282" s="168"/>
      <c r="H282" s="168"/>
      <c r="I282" s="168"/>
      <c r="J282" s="168"/>
      <c r="K282" s="168"/>
      <c r="L282" s="167" t="s">
        <v>1267</v>
      </c>
      <c r="M282" s="167">
        <f t="shared" si="8"/>
        <v>20</v>
      </c>
      <c r="N282" s="167">
        <v>4</v>
      </c>
      <c r="O282" s="168"/>
      <c r="P282" s="168"/>
      <c r="Q282" s="171"/>
      <c r="R282" s="168"/>
      <c r="S282" s="94"/>
    </row>
    <row r="283" s="92" customFormat="1" ht="23" customHeight="1" spans="1:19">
      <c r="A283" s="168"/>
      <c r="B283" s="168"/>
      <c r="C283" s="168"/>
      <c r="D283" s="168"/>
      <c r="E283" s="168"/>
      <c r="F283" s="168"/>
      <c r="G283" s="168"/>
      <c r="H283" s="168"/>
      <c r="I283" s="168"/>
      <c r="J283" s="168"/>
      <c r="K283" s="168"/>
      <c r="L283" s="167" t="s">
        <v>88</v>
      </c>
      <c r="M283" s="167">
        <f t="shared" si="8"/>
        <v>24</v>
      </c>
      <c r="N283" s="167">
        <v>4</v>
      </c>
      <c r="O283" s="168"/>
      <c r="P283" s="168"/>
      <c r="Q283" s="171"/>
      <c r="R283" s="168"/>
      <c r="S283" s="94"/>
    </row>
    <row r="284" s="92" customFormat="1" ht="23" customHeight="1" spans="1:19">
      <c r="A284" s="168"/>
      <c r="B284" s="168"/>
      <c r="C284" s="168"/>
      <c r="D284" s="168"/>
      <c r="E284" s="168"/>
      <c r="F284" s="168"/>
      <c r="G284" s="168"/>
      <c r="H284" s="168"/>
      <c r="I284" s="168"/>
      <c r="J284" s="168"/>
      <c r="K284" s="168"/>
      <c r="L284" s="167" t="s">
        <v>1268</v>
      </c>
      <c r="M284" s="167">
        <f t="shared" si="8"/>
        <v>28</v>
      </c>
      <c r="N284" s="167">
        <v>4</v>
      </c>
      <c r="O284" s="168"/>
      <c r="P284" s="168"/>
      <c r="Q284" s="171"/>
      <c r="R284" s="168"/>
      <c r="S284" s="94"/>
    </row>
    <row r="285" s="92" customFormat="1" ht="23" customHeight="1" spans="1:19">
      <c r="A285" s="168"/>
      <c r="B285" s="168"/>
      <c r="C285" s="168"/>
      <c r="D285" s="168"/>
      <c r="E285" s="168"/>
      <c r="F285" s="168"/>
      <c r="G285" s="168"/>
      <c r="H285" s="168"/>
      <c r="I285" s="168"/>
      <c r="J285" s="168"/>
      <c r="K285" s="168"/>
      <c r="L285" s="167" t="s">
        <v>1269</v>
      </c>
      <c r="M285" s="167">
        <f t="shared" si="8"/>
        <v>32</v>
      </c>
      <c r="N285" s="167">
        <v>4</v>
      </c>
      <c r="O285" s="168"/>
      <c r="P285" s="168"/>
      <c r="Q285" s="171"/>
      <c r="R285" s="168"/>
      <c r="S285" s="94"/>
    </row>
    <row r="286" s="92" customFormat="1" ht="23" customHeight="1" spans="1:19">
      <c r="A286" s="168"/>
      <c r="B286" s="168"/>
      <c r="C286" s="168"/>
      <c r="D286" s="168" t="s">
        <v>202</v>
      </c>
      <c r="E286" s="168"/>
      <c r="F286" s="168"/>
      <c r="G286" s="168"/>
      <c r="H286" s="168"/>
      <c r="I286" s="168"/>
      <c r="J286" s="168"/>
      <c r="K286" s="168"/>
      <c r="L286" s="167" t="s">
        <v>1270</v>
      </c>
      <c r="M286" s="167">
        <f t="shared" si="8"/>
        <v>36</v>
      </c>
      <c r="N286" s="167">
        <v>4</v>
      </c>
      <c r="O286" s="168"/>
      <c r="P286" s="168"/>
      <c r="Q286" s="171" t="s">
        <v>1420</v>
      </c>
      <c r="R286" s="168"/>
      <c r="S286" s="94"/>
    </row>
    <row r="287" s="92" customFormat="1" ht="23" customHeight="1" spans="1:19">
      <c r="A287" s="168"/>
      <c r="B287" s="168"/>
      <c r="C287" s="168"/>
      <c r="D287" s="168" t="s">
        <v>202</v>
      </c>
      <c r="E287" s="168"/>
      <c r="F287" s="168"/>
      <c r="G287" s="168"/>
      <c r="H287" s="168"/>
      <c r="I287" s="168"/>
      <c r="J287" s="168"/>
      <c r="K287" s="168"/>
      <c r="L287" s="167" t="s">
        <v>1271</v>
      </c>
      <c r="M287" s="167">
        <f t="shared" si="8"/>
        <v>40</v>
      </c>
      <c r="N287" s="167">
        <v>4</v>
      </c>
      <c r="O287" s="168"/>
      <c r="P287" s="168"/>
      <c r="Q287" s="171" t="s">
        <v>1420</v>
      </c>
      <c r="R287" s="168"/>
      <c r="S287" s="94"/>
    </row>
    <row r="288" s="92" customFormat="1" ht="23" customHeight="1" spans="1:19">
      <c r="A288" s="168"/>
      <c r="B288" s="168"/>
      <c r="C288" s="168"/>
      <c r="D288" s="168"/>
      <c r="E288" s="168"/>
      <c r="F288" s="168"/>
      <c r="G288" s="168"/>
      <c r="H288" s="168"/>
      <c r="I288" s="168"/>
      <c r="J288" s="168"/>
      <c r="K288" s="168"/>
      <c r="L288" s="167" t="s">
        <v>88</v>
      </c>
      <c r="M288" s="167">
        <f t="shared" si="8"/>
        <v>44</v>
      </c>
      <c r="N288" s="167">
        <v>4</v>
      </c>
      <c r="O288" s="168"/>
      <c r="P288" s="168"/>
      <c r="Q288" s="171"/>
      <c r="R288" s="168"/>
      <c r="S288" s="94"/>
    </row>
    <row r="289" s="92" customFormat="1" ht="23" customHeight="1" spans="1:19">
      <c r="A289" s="168"/>
      <c r="B289" s="168"/>
      <c r="C289" s="168"/>
      <c r="D289" s="168"/>
      <c r="E289" s="168"/>
      <c r="F289" s="168"/>
      <c r="G289" s="168"/>
      <c r="H289" s="168"/>
      <c r="I289" s="168"/>
      <c r="J289" s="168"/>
      <c r="K289" s="168"/>
      <c r="L289" s="167" t="s">
        <v>1272</v>
      </c>
      <c r="M289" s="167">
        <f t="shared" si="8"/>
        <v>48</v>
      </c>
      <c r="N289" s="167">
        <v>4</v>
      </c>
      <c r="O289" s="168"/>
      <c r="P289" s="168"/>
      <c r="Q289" s="171"/>
      <c r="R289" s="168"/>
      <c r="S289" s="94"/>
    </row>
    <row r="290" s="92" customFormat="1" ht="23" customHeight="1" spans="1:19">
      <c r="A290" s="168"/>
      <c r="B290" s="168"/>
      <c r="C290" s="168"/>
      <c r="D290" s="168"/>
      <c r="E290" s="168"/>
      <c r="F290" s="168"/>
      <c r="G290" s="168"/>
      <c r="H290" s="168"/>
      <c r="I290" s="168"/>
      <c r="J290" s="168"/>
      <c r="K290" s="168"/>
      <c r="L290" s="167" t="s">
        <v>1273</v>
      </c>
      <c r="M290" s="167">
        <f t="shared" si="8"/>
        <v>52</v>
      </c>
      <c r="N290" s="167">
        <v>4</v>
      </c>
      <c r="O290" s="168"/>
      <c r="P290" s="168"/>
      <c r="Q290" s="171"/>
      <c r="R290" s="168"/>
      <c r="S290" s="94"/>
    </row>
    <row r="291" s="92" customFormat="1" ht="23" customHeight="1" spans="1:19">
      <c r="A291" s="168"/>
      <c r="B291" s="168"/>
      <c r="C291" s="168"/>
      <c r="D291" s="168"/>
      <c r="E291" s="168"/>
      <c r="F291" s="168"/>
      <c r="G291" s="168"/>
      <c r="H291" s="168"/>
      <c r="I291" s="168"/>
      <c r="J291" s="168"/>
      <c r="K291" s="168"/>
      <c r="L291" s="167" t="s">
        <v>1274</v>
      </c>
      <c r="M291" s="167">
        <f t="shared" si="8"/>
        <v>56</v>
      </c>
      <c r="N291" s="167">
        <v>4</v>
      </c>
      <c r="O291" s="168"/>
      <c r="P291" s="168"/>
      <c r="Q291" s="171"/>
      <c r="R291" s="168"/>
      <c r="S291" s="94"/>
    </row>
    <row r="292" s="92" customFormat="1" ht="23" customHeight="1" spans="1:19">
      <c r="A292" s="168"/>
      <c r="B292" s="168"/>
      <c r="C292" s="168"/>
      <c r="D292" s="168"/>
      <c r="E292" s="168"/>
      <c r="F292" s="168"/>
      <c r="G292" s="168"/>
      <c r="H292" s="168"/>
      <c r="I292" s="168"/>
      <c r="J292" s="168"/>
      <c r="K292" s="168"/>
      <c r="L292" s="167" t="s">
        <v>1275</v>
      </c>
      <c r="M292" s="167">
        <f t="shared" si="8"/>
        <v>60</v>
      </c>
      <c r="N292" s="167">
        <v>4</v>
      </c>
      <c r="O292" s="168"/>
      <c r="P292" s="168"/>
      <c r="Q292" s="171"/>
      <c r="R292" s="168"/>
      <c r="S292" s="94"/>
    </row>
    <row r="293" s="92" customFormat="1" ht="23" customHeight="1" spans="1:19">
      <c r="A293" s="168"/>
      <c r="B293" s="168"/>
      <c r="C293" s="168"/>
      <c r="D293" s="168"/>
      <c r="E293" s="168"/>
      <c r="F293" s="168"/>
      <c r="G293" s="168"/>
      <c r="H293" s="168"/>
      <c r="I293" s="168"/>
      <c r="J293" s="168"/>
      <c r="K293" s="168"/>
      <c r="L293" s="167" t="s">
        <v>88</v>
      </c>
      <c r="M293" s="167">
        <f t="shared" si="8"/>
        <v>64</v>
      </c>
      <c r="N293" s="167">
        <v>4</v>
      </c>
      <c r="O293" s="168"/>
      <c r="P293" s="168"/>
      <c r="Q293" s="171"/>
      <c r="R293" s="168"/>
      <c r="S293" s="94"/>
    </row>
    <row r="294" s="92" customFormat="1" ht="23" customHeight="1" spans="1:19">
      <c r="A294" s="168"/>
      <c r="B294" s="168"/>
      <c r="C294" s="168"/>
      <c r="D294" s="168"/>
      <c r="E294" s="168"/>
      <c r="F294" s="168"/>
      <c r="G294" s="168"/>
      <c r="H294" s="168"/>
      <c r="I294" s="168"/>
      <c r="J294" s="168"/>
      <c r="K294" s="168"/>
      <c r="L294" s="167" t="s">
        <v>1276</v>
      </c>
      <c r="M294" s="167">
        <f t="shared" si="8"/>
        <v>68</v>
      </c>
      <c r="N294" s="167">
        <v>4</v>
      </c>
      <c r="O294" s="168"/>
      <c r="P294" s="168"/>
      <c r="Q294" s="171"/>
      <c r="R294" s="168"/>
      <c r="S294" s="94"/>
    </row>
    <row r="295" s="92" customFormat="1" ht="23" customHeight="1" spans="1:19">
      <c r="A295" s="168"/>
      <c r="B295" s="168"/>
      <c r="C295" s="168"/>
      <c r="D295" s="168" t="s">
        <v>202</v>
      </c>
      <c r="E295" s="168"/>
      <c r="F295" s="168"/>
      <c r="G295" s="168"/>
      <c r="H295" s="168"/>
      <c r="I295" s="168"/>
      <c r="J295" s="168"/>
      <c r="K295" s="168"/>
      <c r="L295" s="167" t="s">
        <v>1277</v>
      </c>
      <c r="M295" s="167">
        <f t="shared" si="8"/>
        <v>72</v>
      </c>
      <c r="N295" s="167">
        <v>4</v>
      </c>
      <c r="O295" s="168"/>
      <c r="P295" s="168"/>
      <c r="Q295" s="171" t="s">
        <v>1420</v>
      </c>
      <c r="R295" s="168"/>
      <c r="S295" s="94"/>
    </row>
    <row r="296" s="92" customFormat="1" ht="23" customHeight="1" spans="1:19">
      <c r="A296" s="168"/>
      <c r="B296" s="168"/>
      <c r="C296" s="168"/>
      <c r="D296" s="168" t="s">
        <v>202</v>
      </c>
      <c r="E296" s="168"/>
      <c r="F296" s="168"/>
      <c r="G296" s="168"/>
      <c r="H296" s="168"/>
      <c r="I296" s="168"/>
      <c r="J296" s="168"/>
      <c r="K296" s="168"/>
      <c r="L296" s="167" t="s">
        <v>1278</v>
      </c>
      <c r="M296" s="167">
        <f t="shared" si="8"/>
        <v>76</v>
      </c>
      <c r="N296" s="167">
        <v>4</v>
      </c>
      <c r="O296" s="168"/>
      <c r="P296" s="168"/>
      <c r="Q296" s="171" t="s">
        <v>1420</v>
      </c>
      <c r="R296" s="168"/>
      <c r="S296" s="94"/>
    </row>
    <row r="297" s="92" customFormat="1" ht="23" customHeight="1" spans="1:19">
      <c r="A297" s="168"/>
      <c r="B297" s="168"/>
      <c r="C297" s="168"/>
      <c r="D297" s="168" t="s">
        <v>202</v>
      </c>
      <c r="E297" s="168"/>
      <c r="F297" s="168"/>
      <c r="G297" s="168"/>
      <c r="H297" s="168"/>
      <c r="I297" s="168"/>
      <c r="J297" s="168"/>
      <c r="K297" s="168"/>
      <c r="L297" s="167" t="s">
        <v>1279</v>
      </c>
      <c r="M297" s="167">
        <f t="shared" si="8"/>
        <v>80</v>
      </c>
      <c r="N297" s="167">
        <v>4</v>
      </c>
      <c r="O297" s="168"/>
      <c r="P297" s="168"/>
      <c r="Q297" s="171" t="s">
        <v>1420</v>
      </c>
      <c r="R297" s="168"/>
      <c r="S297" s="94"/>
    </row>
    <row r="298" s="92" customFormat="1" ht="23" customHeight="1" spans="1:19">
      <c r="A298" s="168"/>
      <c r="B298" s="168"/>
      <c r="C298" s="168"/>
      <c r="D298" s="168"/>
      <c r="E298" s="168"/>
      <c r="F298" s="168"/>
      <c r="G298" s="168"/>
      <c r="H298" s="168"/>
      <c r="I298" s="168"/>
      <c r="J298" s="168"/>
      <c r="K298" s="168"/>
      <c r="L298" s="167" t="s">
        <v>88</v>
      </c>
      <c r="M298" s="167">
        <f t="shared" si="8"/>
        <v>84</v>
      </c>
      <c r="N298" s="167">
        <v>4</v>
      </c>
      <c r="O298" s="168"/>
      <c r="P298" s="168"/>
      <c r="Q298" s="171"/>
      <c r="R298" s="168"/>
      <c r="S298" s="94"/>
    </row>
    <row r="299" s="92" customFormat="1" ht="23" customHeight="1" spans="1:19">
      <c r="A299" s="168"/>
      <c r="B299" s="168"/>
      <c r="C299" s="168"/>
      <c r="D299" s="168" t="s">
        <v>202</v>
      </c>
      <c r="E299" s="168"/>
      <c r="F299" s="168"/>
      <c r="G299" s="168"/>
      <c r="H299" s="168"/>
      <c r="I299" s="168"/>
      <c r="J299" s="168"/>
      <c r="K299" s="168"/>
      <c r="L299" s="167" t="s">
        <v>1280</v>
      </c>
      <c r="M299" s="167">
        <f t="shared" si="8"/>
        <v>88</v>
      </c>
      <c r="N299" s="167">
        <v>4</v>
      </c>
      <c r="O299" s="168"/>
      <c r="P299" s="168"/>
      <c r="Q299" s="171" t="s">
        <v>1420</v>
      </c>
      <c r="R299" s="168"/>
      <c r="S299" s="94"/>
    </row>
    <row r="300" s="92" customFormat="1" ht="23" customHeight="1" spans="1:19">
      <c r="A300" s="168"/>
      <c r="B300" s="168"/>
      <c r="C300" s="168"/>
      <c r="D300" s="168"/>
      <c r="E300" s="168"/>
      <c r="F300" s="168"/>
      <c r="G300" s="168"/>
      <c r="H300" s="168"/>
      <c r="I300" s="168"/>
      <c r="J300" s="168"/>
      <c r="K300" s="168"/>
      <c r="L300" s="167" t="s">
        <v>207</v>
      </c>
      <c r="M300" s="167">
        <f t="shared" si="8"/>
        <v>92</v>
      </c>
      <c r="N300" s="167">
        <v>4</v>
      </c>
      <c r="O300" s="168"/>
      <c r="P300" s="168"/>
      <c r="Q300" s="171"/>
      <c r="R300" s="168"/>
      <c r="S300" s="94"/>
    </row>
    <row r="301" s="92" customFormat="1" ht="23" customHeight="1" spans="1:19">
      <c r="A301" s="168"/>
      <c r="B301" s="168"/>
      <c r="C301" s="168"/>
      <c r="D301" s="168"/>
      <c r="E301" s="168"/>
      <c r="F301" s="168"/>
      <c r="G301" s="168"/>
      <c r="H301" s="168"/>
      <c r="I301" s="168"/>
      <c r="J301" s="168"/>
      <c r="K301" s="168"/>
      <c r="L301" s="167" t="s">
        <v>1260</v>
      </c>
      <c r="M301" s="167">
        <f t="shared" si="8"/>
        <v>96</v>
      </c>
      <c r="N301" s="167">
        <v>4</v>
      </c>
      <c r="O301" s="168"/>
      <c r="P301" s="168"/>
      <c r="Q301" s="171"/>
      <c r="R301" s="168"/>
      <c r="S301" s="94"/>
    </row>
    <row r="302" s="92" customFormat="1" ht="23" customHeight="1" spans="1:19">
      <c r="A302" s="168"/>
      <c r="B302" s="168"/>
      <c r="C302" s="168"/>
      <c r="D302" s="168"/>
      <c r="E302" s="168"/>
      <c r="F302" s="168"/>
      <c r="G302" s="168"/>
      <c r="H302" s="168"/>
      <c r="I302" s="168"/>
      <c r="J302" s="168"/>
      <c r="K302" s="168"/>
      <c r="L302" s="167" t="s">
        <v>1281</v>
      </c>
      <c r="M302" s="167">
        <f t="shared" si="8"/>
        <v>100</v>
      </c>
      <c r="N302" s="167">
        <v>4</v>
      </c>
      <c r="O302" s="168"/>
      <c r="P302" s="168"/>
      <c r="Q302" s="171"/>
      <c r="R302" s="168"/>
      <c r="S302" s="94"/>
    </row>
    <row r="303" s="92" customFormat="1" ht="23" customHeight="1" spans="1:19">
      <c r="A303" s="168"/>
      <c r="B303" s="168"/>
      <c r="C303" s="168"/>
      <c r="D303" s="168"/>
      <c r="E303" s="168"/>
      <c r="F303" s="168"/>
      <c r="G303" s="168"/>
      <c r="H303" s="168"/>
      <c r="I303" s="168"/>
      <c r="J303" s="168"/>
      <c r="K303" s="168"/>
      <c r="L303" s="167" t="s">
        <v>88</v>
      </c>
      <c r="M303" s="167">
        <f t="shared" si="8"/>
        <v>104</v>
      </c>
      <c r="N303" s="167">
        <v>4</v>
      </c>
      <c r="O303" s="168"/>
      <c r="P303" s="168"/>
      <c r="Q303" s="171"/>
      <c r="R303" s="168"/>
      <c r="S303" s="94"/>
    </row>
    <row r="304" s="92" customFormat="1" ht="23" customHeight="1" spans="1:19">
      <c r="A304" s="168"/>
      <c r="B304" s="168"/>
      <c r="C304" s="168"/>
      <c r="D304" s="168"/>
      <c r="E304" s="168"/>
      <c r="F304" s="168"/>
      <c r="G304" s="168"/>
      <c r="H304" s="168"/>
      <c r="I304" s="168"/>
      <c r="J304" s="168"/>
      <c r="K304" s="168"/>
      <c r="L304" s="167" t="s">
        <v>1282</v>
      </c>
      <c r="M304" s="167">
        <f t="shared" si="8"/>
        <v>108</v>
      </c>
      <c r="N304" s="167">
        <v>4</v>
      </c>
      <c r="O304" s="168"/>
      <c r="P304" s="168"/>
      <c r="Q304" s="171"/>
      <c r="R304" s="168"/>
      <c r="S304" s="94"/>
    </row>
    <row r="305" s="92" customFormat="1" ht="23" customHeight="1" spans="1:19">
      <c r="A305" s="168"/>
      <c r="B305" s="168"/>
      <c r="C305" s="168"/>
      <c r="D305" s="168"/>
      <c r="E305" s="168"/>
      <c r="F305" s="168"/>
      <c r="G305" s="168"/>
      <c r="H305" s="168"/>
      <c r="I305" s="168"/>
      <c r="J305" s="168"/>
      <c r="K305" s="168"/>
      <c r="L305" s="167" t="s">
        <v>1283</v>
      </c>
      <c r="M305" s="167">
        <f t="shared" si="8"/>
        <v>112</v>
      </c>
      <c r="N305" s="167">
        <v>4</v>
      </c>
      <c r="O305" s="168"/>
      <c r="P305" s="168"/>
      <c r="Q305" s="171"/>
      <c r="R305" s="168"/>
      <c r="S305" s="94"/>
    </row>
    <row r="306" s="92" customFormat="1" ht="23" customHeight="1" spans="1:19">
      <c r="A306" s="168"/>
      <c r="B306" s="168"/>
      <c r="C306" s="168"/>
      <c r="D306" s="168"/>
      <c r="E306" s="168"/>
      <c r="F306" s="168"/>
      <c r="G306" s="168"/>
      <c r="H306" s="168"/>
      <c r="I306" s="168"/>
      <c r="J306" s="168"/>
      <c r="K306" s="168"/>
      <c r="L306" s="167" t="s">
        <v>1284</v>
      </c>
      <c r="M306" s="167">
        <f t="shared" si="8"/>
        <v>116</v>
      </c>
      <c r="N306" s="167">
        <v>4</v>
      </c>
      <c r="O306" s="168"/>
      <c r="P306" s="168"/>
      <c r="Q306" s="171"/>
      <c r="R306" s="168"/>
      <c r="S306" s="94"/>
    </row>
    <row r="307" s="92" customFormat="1" ht="23" customHeight="1" spans="1:19">
      <c r="A307" s="168"/>
      <c r="B307" s="168"/>
      <c r="C307" s="168"/>
      <c r="D307" s="168"/>
      <c r="E307" s="168"/>
      <c r="F307" s="168"/>
      <c r="G307" s="168"/>
      <c r="H307" s="168"/>
      <c r="I307" s="168"/>
      <c r="J307" s="168"/>
      <c r="K307" s="168"/>
      <c r="L307" s="167" t="s">
        <v>1285</v>
      </c>
      <c r="M307" s="167">
        <f t="shared" si="8"/>
        <v>120</v>
      </c>
      <c r="N307" s="167">
        <v>4</v>
      </c>
      <c r="O307" s="168"/>
      <c r="P307" s="168"/>
      <c r="Q307" s="171"/>
      <c r="R307" s="168"/>
      <c r="S307" s="94"/>
    </row>
    <row r="308" s="92" customFormat="1" ht="23" customHeight="1" spans="1:19">
      <c r="A308" s="168"/>
      <c r="B308" s="168"/>
      <c r="C308" s="168"/>
      <c r="D308" s="168"/>
      <c r="E308" s="168"/>
      <c r="F308" s="168"/>
      <c r="G308" s="168"/>
      <c r="H308" s="168"/>
      <c r="I308" s="168"/>
      <c r="J308" s="168"/>
      <c r="K308" s="168"/>
      <c r="L308" s="167" t="s">
        <v>88</v>
      </c>
      <c r="M308" s="167">
        <f t="shared" si="8"/>
        <v>124</v>
      </c>
      <c r="N308" s="167">
        <v>4</v>
      </c>
      <c r="O308" s="168"/>
      <c r="P308" s="168"/>
      <c r="Q308" s="171"/>
      <c r="R308" s="168"/>
      <c r="S308" s="94"/>
    </row>
    <row r="309" s="92" customFormat="1" ht="23" customHeight="1" spans="1:19">
      <c r="A309" s="168"/>
      <c r="B309" s="168"/>
      <c r="C309" s="168"/>
      <c r="D309" s="168"/>
      <c r="E309" s="168"/>
      <c r="F309" s="168"/>
      <c r="G309" s="168"/>
      <c r="H309" s="168"/>
      <c r="I309" s="168"/>
      <c r="J309" s="168"/>
      <c r="K309" s="168"/>
      <c r="L309" s="167" t="s">
        <v>1286</v>
      </c>
      <c r="M309" s="167">
        <f t="shared" si="8"/>
        <v>128</v>
      </c>
      <c r="N309" s="167">
        <v>4</v>
      </c>
      <c r="O309" s="168"/>
      <c r="P309" s="168"/>
      <c r="Q309" s="171"/>
      <c r="R309" s="168"/>
      <c r="S309" s="94"/>
    </row>
    <row r="310" s="92" customFormat="1" ht="23" customHeight="1" spans="1:19">
      <c r="A310" s="168"/>
      <c r="B310" s="168"/>
      <c r="C310" s="168"/>
      <c r="D310" s="168"/>
      <c r="E310" s="168"/>
      <c r="F310" s="168"/>
      <c r="G310" s="168"/>
      <c r="H310" s="168"/>
      <c r="I310" s="168"/>
      <c r="J310" s="168"/>
      <c r="K310" s="168"/>
      <c r="L310" s="167" t="s">
        <v>1287</v>
      </c>
      <c r="M310" s="167">
        <f t="shared" si="8"/>
        <v>132</v>
      </c>
      <c r="N310" s="167">
        <v>4</v>
      </c>
      <c r="O310" s="168"/>
      <c r="P310" s="168"/>
      <c r="Q310" s="171"/>
      <c r="R310" s="168"/>
      <c r="S310" s="94"/>
    </row>
    <row r="311" s="92" customFormat="1" ht="23" customHeight="1" spans="1:19">
      <c r="A311" s="168"/>
      <c r="B311" s="168"/>
      <c r="C311" s="168"/>
      <c r="D311" s="168"/>
      <c r="E311" s="168"/>
      <c r="F311" s="168"/>
      <c r="G311" s="168"/>
      <c r="H311" s="168"/>
      <c r="I311" s="168"/>
      <c r="J311" s="168"/>
      <c r="K311" s="168"/>
      <c r="L311" s="167" t="s">
        <v>1288</v>
      </c>
      <c r="M311" s="167">
        <f t="shared" si="8"/>
        <v>136</v>
      </c>
      <c r="N311" s="167">
        <v>4</v>
      </c>
      <c r="O311" s="168"/>
      <c r="P311" s="168"/>
      <c r="Q311" s="171"/>
      <c r="R311" s="168"/>
      <c r="S311" s="94"/>
    </row>
    <row r="312" s="92" customFormat="1" ht="23" customHeight="1" spans="1:19">
      <c r="A312" s="168"/>
      <c r="B312" s="168"/>
      <c r="C312" s="168"/>
      <c r="D312" s="168"/>
      <c r="E312" s="168"/>
      <c r="F312" s="168"/>
      <c r="G312" s="168"/>
      <c r="H312" s="168"/>
      <c r="I312" s="168"/>
      <c r="J312" s="168"/>
      <c r="K312" s="168"/>
      <c r="L312" s="167" t="s">
        <v>1289</v>
      </c>
      <c r="M312" s="167">
        <f t="shared" si="8"/>
        <v>140</v>
      </c>
      <c r="N312" s="167">
        <v>4</v>
      </c>
      <c r="O312" s="168"/>
      <c r="P312" s="168"/>
      <c r="Q312" s="171"/>
      <c r="R312" s="168"/>
      <c r="S312" s="94"/>
    </row>
    <row r="313" s="92" customFormat="1" ht="23" customHeight="1" spans="1:19">
      <c r="A313" s="168"/>
      <c r="B313" s="168"/>
      <c r="C313" s="168"/>
      <c r="D313" s="168"/>
      <c r="E313" s="168"/>
      <c r="F313" s="168"/>
      <c r="G313" s="168"/>
      <c r="H313" s="168"/>
      <c r="I313" s="168"/>
      <c r="J313" s="168"/>
      <c r="K313" s="168"/>
      <c r="L313" s="167" t="s">
        <v>88</v>
      </c>
      <c r="M313" s="167">
        <f t="shared" si="8"/>
        <v>144</v>
      </c>
      <c r="N313" s="167">
        <v>4</v>
      </c>
      <c r="O313" s="168"/>
      <c r="P313" s="168"/>
      <c r="Q313" s="171"/>
      <c r="R313" s="168"/>
      <c r="S313" s="94"/>
    </row>
    <row r="314" s="92" customFormat="1" ht="23" customHeight="1" spans="1:19">
      <c r="A314" s="168"/>
      <c r="B314" s="168"/>
      <c r="C314" s="168"/>
      <c r="D314" s="168"/>
      <c r="E314" s="168"/>
      <c r="F314" s="168"/>
      <c r="G314" s="168"/>
      <c r="H314" s="168"/>
      <c r="I314" s="168"/>
      <c r="J314" s="168"/>
      <c r="K314" s="168"/>
      <c r="L314" s="167" t="s">
        <v>33</v>
      </c>
      <c r="M314" s="167">
        <f t="shared" si="8"/>
        <v>148</v>
      </c>
      <c r="N314" s="167">
        <v>4</v>
      </c>
      <c r="O314" s="168"/>
      <c r="P314" s="168"/>
      <c r="Q314" s="171"/>
      <c r="R314" s="168"/>
      <c r="S314" s="94"/>
    </row>
    <row r="315" s="92" customFormat="1" ht="23" customHeight="1" spans="1:19">
      <c r="A315" s="168"/>
      <c r="B315" s="168"/>
      <c r="C315" s="168"/>
      <c r="D315" s="168"/>
      <c r="E315" s="168"/>
      <c r="F315" s="168"/>
      <c r="G315" s="168"/>
      <c r="H315" s="168"/>
      <c r="I315" s="168"/>
      <c r="J315" s="168"/>
      <c r="K315" s="168"/>
      <c r="L315" s="167" t="s">
        <v>34</v>
      </c>
      <c r="M315" s="167">
        <f t="shared" si="8"/>
        <v>152</v>
      </c>
      <c r="N315" s="167">
        <v>4</v>
      </c>
      <c r="O315" s="168"/>
      <c r="P315" s="168"/>
      <c r="Q315" s="171"/>
      <c r="R315" s="168"/>
      <c r="S315" s="94"/>
    </row>
    <row r="316" s="92" customFormat="1" ht="23" customHeight="1" spans="1:19">
      <c r="A316" s="170" t="s">
        <v>1446</v>
      </c>
      <c r="B316" s="170" t="s">
        <v>1447</v>
      </c>
      <c r="C316" s="170" t="s">
        <v>1448</v>
      </c>
      <c r="D316" s="170"/>
      <c r="E316" s="170" t="s">
        <v>1449</v>
      </c>
      <c r="F316" s="170" t="s">
        <v>1450</v>
      </c>
      <c r="G316" s="170" t="s">
        <v>1345</v>
      </c>
      <c r="H316" s="170" t="s">
        <v>1397</v>
      </c>
      <c r="I316" s="170" t="s">
        <v>1451</v>
      </c>
      <c r="J316" s="170">
        <v>7077</v>
      </c>
      <c r="K316" s="172" t="s">
        <v>1241</v>
      </c>
      <c r="L316" s="173" t="s">
        <v>87</v>
      </c>
      <c r="M316" s="174">
        <v>0</v>
      </c>
      <c r="N316" s="174">
        <v>4</v>
      </c>
      <c r="O316" s="170">
        <v>100</v>
      </c>
      <c r="P316" s="175" t="s">
        <v>1452</v>
      </c>
      <c r="Q316" s="171"/>
      <c r="R316" s="170" t="s">
        <v>1349</v>
      </c>
      <c r="S316" s="94"/>
    </row>
    <row r="317" s="92" customFormat="1" ht="23" customHeight="1" spans="1:19">
      <c r="A317" s="166"/>
      <c r="B317" s="166"/>
      <c r="C317" s="166"/>
      <c r="D317" s="170"/>
      <c r="E317" s="166"/>
      <c r="F317" s="166"/>
      <c r="G317" s="166"/>
      <c r="H317" s="166"/>
      <c r="I317" s="166"/>
      <c r="J317" s="166"/>
      <c r="K317" s="176"/>
      <c r="L317" s="173" t="s">
        <v>88</v>
      </c>
      <c r="M317" s="174">
        <f t="shared" ref="M317:M333" si="9">M316+N316</f>
        <v>4</v>
      </c>
      <c r="N317" s="174">
        <v>4</v>
      </c>
      <c r="O317" s="166"/>
      <c r="P317" s="177"/>
      <c r="Q317" s="171"/>
      <c r="R317" s="166"/>
      <c r="S317" s="94"/>
    </row>
    <row r="318" s="92" customFormat="1" ht="23" customHeight="1" spans="1:19">
      <c r="A318" s="166"/>
      <c r="B318" s="166"/>
      <c r="C318" s="166"/>
      <c r="D318" s="170"/>
      <c r="E318" s="166"/>
      <c r="F318" s="166"/>
      <c r="G318" s="166"/>
      <c r="H318" s="166"/>
      <c r="I318" s="166"/>
      <c r="J318" s="166"/>
      <c r="K318" s="176"/>
      <c r="L318" s="174" t="s">
        <v>1242</v>
      </c>
      <c r="M318" s="174">
        <f t="shared" si="9"/>
        <v>8</v>
      </c>
      <c r="N318" s="174">
        <v>4</v>
      </c>
      <c r="O318" s="166"/>
      <c r="P318" s="177"/>
      <c r="Q318" s="171"/>
      <c r="R318" s="166"/>
      <c r="S318" s="94"/>
    </row>
    <row r="319" s="92" customFormat="1" ht="23" customHeight="1" spans="1:19">
      <c r="A319" s="166"/>
      <c r="B319" s="166"/>
      <c r="C319" s="166"/>
      <c r="D319" s="170" t="s">
        <v>1453</v>
      </c>
      <c r="E319" s="166"/>
      <c r="F319" s="166"/>
      <c r="G319" s="166"/>
      <c r="H319" s="166"/>
      <c r="I319" s="166"/>
      <c r="J319" s="166"/>
      <c r="K319" s="176"/>
      <c r="L319" s="174" t="s">
        <v>1243</v>
      </c>
      <c r="M319" s="174">
        <f t="shared" si="9"/>
        <v>12</v>
      </c>
      <c r="N319" s="174">
        <v>4</v>
      </c>
      <c r="O319" s="166"/>
      <c r="P319" s="177"/>
      <c r="Q319" s="171" t="s">
        <v>1454</v>
      </c>
      <c r="R319" s="166"/>
      <c r="S319" s="94"/>
    </row>
    <row r="320" s="92" customFormat="1" ht="23" customHeight="1" spans="1:19">
      <c r="A320" s="166"/>
      <c r="B320" s="166"/>
      <c r="C320" s="166"/>
      <c r="D320" s="170" t="s">
        <v>1453</v>
      </c>
      <c r="E320" s="166"/>
      <c r="F320" s="166"/>
      <c r="G320" s="166"/>
      <c r="H320" s="166"/>
      <c r="I320" s="166"/>
      <c r="J320" s="166"/>
      <c r="K320" s="176"/>
      <c r="L320" s="174" t="s">
        <v>1244</v>
      </c>
      <c r="M320" s="174">
        <f t="shared" si="9"/>
        <v>16</v>
      </c>
      <c r="N320" s="174">
        <v>4</v>
      </c>
      <c r="O320" s="166"/>
      <c r="P320" s="177"/>
      <c r="Q320" s="171" t="s">
        <v>1454</v>
      </c>
      <c r="R320" s="166"/>
      <c r="S320" s="94"/>
    </row>
    <row r="321" s="92" customFormat="1" ht="23" customHeight="1" spans="1:19">
      <c r="A321" s="166"/>
      <c r="B321" s="166"/>
      <c r="C321" s="166"/>
      <c r="D321" s="170"/>
      <c r="E321" s="166"/>
      <c r="F321" s="166"/>
      <c r="G321" s="166"/>
      <c r="H321" s="166"/>
      <c r="I321" s="166"/>
      <c r="J321" s="166"/>
      <c r="K321" s="176"/>
      <c r="L321" s="174" t="s">
        <v>1245</v>
      </c>
      <c r="M321" s="174">
        <f t="shared" si="9"/>
        <v>20</v>
      </c>
      <c r="N321" s="174">
        <v>4</v>
      </c>
      <c r="O321" s="166"/>
      <c r="P321" s="177"/>
      <c r="Q321" s="171"/>
      <c r="R321" s="166"/>
      <c r="S321" s="94"/>
    </row>
    <row r="322" s="92" customFormat="1" ht="23" customHeight="1" spans="1:19">
      <c r="A322" s="166"/>
      <c r="B322" s="166"/>
      <c r="C322" s="166"/>
      <c r="D322" s="170"/>
      <c r="E322" s="166"/>
      <c r="F322" s="166"/>
      <c r="G322" s="166"/>
      <c r="H322" s="166"/>
      <c r="I322" s="166"/>
      <c r="J322" s="166"/>
      <c r="K322" s="176"/>
      <c r="L322" s="173" t="s">
        <v>88</v>
      </c>
      <c r="M322" s="174">
        <f t="shared" si="9"/>
        <v>24</v>
      </c>
      <c r="N322" s="174">
        <v>4</v>
      </c>
      <c r="O322" s="166"/>
      <c r="P322" s="177"/>
      <c r="Q322" s="171"/>
      <c r="R322" s="166"/>
      <c r="S322" s="94"/>
    </row>
    <row r="323" s="92" customFormat="1" ht="43" customHeight="1" spans="1:19">
      <c r="A323" s="166"/>
      <c r="B323" s="166"/>
      <c r="C323" s="166"/>
      <c r="D323" s="170"/>
      <c r="E323" s="166"/>
      <c r="F323" s="166"/>
      <c r="G323" s="166"/>
      <c r="H323" s="166"/>
      <c r="I323" s="166"/>
      <c r="J323" s="166"/>
      <c r="K323" s="176"/>
      <c r="L323" s="174" t="s">
        <v>1246</v>
      </c>
      <c r="M323" s="174">
        <f t="shared" si="9"/>
        <v>28</v>
      </c>
      <c r="N323" s="174">
        <v>4</v>
      </c>
      <c r="O323" s="166"/>
      <c r="P323" s="177"/>
      <c r="Q323" s="171"/>
      <c r="R323" s="166"/>
      <c r="S323" s="94"/>
    </row>
    <row r="324" s="92" customFormat="1" ht="43" customHeight="1" spans="1:19">
      <c r="A324" s="166"/>
      <c r="B324" s="166"/>
      <c r="C324" s="166"/>
      <c r="D324" s="170"/>
      <c r="E324" s="166"/>
      <c r="F324" s="166"/>
      <c r="G324" s="166"/>
      <c r="H324" s="166"/>
      <c r="I324" s="166"/>
      <c r="J324" s="166"/>
      <c r="K324" s="176"/>
      <c r="L324" s="174" t="s">
        <v>51</v>
      </c>
      <c r="M324" s="174">
        <f t="shared" si="9"/>
        <v>32</v>
      </c>
      <c r="N324" s="174">
        <v>4</v>
      </c>
      <c r="O324" s="166"/>
      <c r="P324" s="177"/>
      <c r="Q324" s="171"/>
      <c r="R324" s="166"/>
      <c r="S324" s="94"/>
    </row>
    <row r="325" s="92" customFormat="1" ht="23" customHeight="1" spans="1:19">
      <c r="A325" s="166"/>
      <c r="B325" s="166"/>
      <c r="C325" s="166"/>
      <c r="D325" s="170"/>
      <c r="E325" s="166"/>
      <c r="F325" s="166"/>
      <c r="G325" s="166"/>
      <c r="H325" s="166"/>
      <c r="I325" s="166"/>
      <c r="J325" s="166"/>
      <c r="K325" s="176"/>
      <c r="L325" s="174" t="s">
        <v>1247</v>
      </c>
      <c r="M325" s="174">
        <f t="shared" si="9"/>
        <v>36</v>
      </c>
      <c r="N325" s="174">
        <v>4</v>
      </c>
      <c r="O325" s="166"/>
      <c r="P325" s="177"/>
      <c r="Q325" s="171"/>
      <c r="R325" s="166"/>
      <c r="S325" s="94"/>
    </row>
    <row r="326" s="92" customFormat="1" ht="23" customHeight="1" spans="1:19">
      <c r="A326" s="166"/>
      <c r="B326" s="166"/>
      <c r="C326" s="166"/>
      <c r="D326" s="170"/>
      <c r="E326" s="166"/>
      <c r="F326" s="166"/>
      <c r="G326" s="166"/>
      <c r="H326" s="166"/>
      <c r="I326" s="166"/>
      <c r="J326" s="166"/>
      <c r="K326" s="176"/>
      <c r="L326" s="174" t="s">
        <v>1248</v>
      </c>
      <c r="M326" s="174">
        <f t="shared" si="9"/>
        <v>40</v>
      </c>
      <c r="N326" s="174">
        <v>4</v>
      </c>
      <c r="O326" s="166"/>
      <c r="P326" s="177"/>
      <c r="Q326" s="171"/>
      <c r="R326" s="166"/>
      <c r="S326" s="94"/>
    </row>
    <row r="327" s="92" customFormat="1" ht="23" customHeight="1" spans="1:19">
      <c r="A327" s="166"/>
      <c r="B327" s="166"/>
      <c r="C327" s="166"/>
      <c r="D327" s="170"/>
      <c r="E327" s="166"/>
      <c r="F327" s="166"/>
      <c r="G327" s="166"/>
      <c r="H327" s="166"/>
      <c r="I327" s="166"/>
      <c r="J327" s="166"/>
      <c r="K327" s="176"/>
      <c r="L327" s="173" t="s">
        <v>88</v>
      </c>
      <c r="M327" s="174">
        <f t="shared" si="9"/>
        <v>44</v>
      </c>
      <c r="N327" s="174">
        <v>4</v>
      </c>
      <c r="O327" s="166"/>
      <c r="P327" s="177"/>
      <c r="Q327" s="171"/>
      <c r="R327" s="166"/>
      <c r="S327" s="94"/>
    </row>
    <row r="328" s="92" customFormat="1" ht="23" customHeight="1" spans="1:19">
      <c r="A328" s="166"/>
      <c r="B328" s="166"/>
      <c r="C328" s="166"/>
      <c r="D328" s="170"/>
      <c r="E328" s="166"/>
      <c r="F328" s="166"/>
      <c r="G328" s="166"/>
      <c r="H328" s="166"/>
      <c r="I328" s="166"/>
      <c r="J328" s="166"/>
      <c r="K328" s="176"/>
      <c r="L328" s="174" t="s">
        <v>1249</v>
      </c>
      <c r="M328" s="174">
        <f t="shared" si="9"/>
        <v>48</v>
      </c>
      <c r="N328" s="174">
        <v>4</v>
      </c>
      <c r="O328" s="166"/>
      <c r="P328" s="177"/>
      <c r="Q328" s="171"/>
      <c r="R328" s="166"/>
      <c r="S328" s="94"/>
    </row>
    <row r="329" s="92" customFormat="1" ht="23" customHeight="1" spans="1:19">
      <c r="A329" s="166"/>
      <c r="B329" s="166"/>
      <c r="C329" s="166"/>
      <c r="D329" s="170"/>
      <c r="E329" s="166"/>
      <c r="F329" s="166"/>
      <c r="G329" s="166"/>
      <c r="H329" s="166"/>
      <c r="I329" s="166"/>
      <c r="J329" s="166"/>
      <c r="K329" s="176"/>
      <c r="L329" s="174" t="s">
        <v>1250</v>
      </c>
      <c r="M329" s="174">
        <f t="shared" si="9"/>
        <v>52</v>
      </c>
      <c r="N329" s="174">
        <v>4</v>
      </c>
      <c r="O329" s="166"/>
      <c r="P329" s="177"/>
      <c r="Q329" s="171"/>
      <c r="R329" s="166"/>
      <c r="S329" s="94"/>
    </row>
    <row r="330" s="92" customFormat="1" ht="23" customHeight="1" spans="1:19">
      <c r="A330" s="166"/>
      <c r="B330" s="166"/>
      <c r="C330" s="166"/>
      <c r="D330" s="170"/>
      <c r="E330" s="166"/>
      <c r="F330" s="166"/>
      <c r="G330" s="166"/>
      <c r="H330" s="166"/>
      <c r="I330" s="166"/>
      <c r="J330" s="166"/>
      <c r="K330" s="176"/>
      <c r="L330" s="174" t="s">
        <v>1251</v>
      </c>
      <c r="M330" s="174">
        <f t="shared" si="9"/>
        <v>56</v>
      </c>
      <c r="N330" s="174">
        <v>4</v>
      </c>
      <c r="O330" s="166"/>
      <c r="P330" s="177"/>
      <c r="Q330" s="171"/>
      <c r="R330" s="166"/>
      <c r="S330" s="94"/>
    </row>
    <row r="331" s="92" customFormat="1" ht="23" customHeight="1" spans="1:19">
      <c r="A331" s="166"/>
      <c r="B331" s="166"/>
      <c r="C331" s="166"/>
      <c r="D331" s="170"/>
      <c r="E331" s="166"/>
      <c r="F331" s="166"/>
      <c r="G331" s="166"/>
      <c r="H331" s="166"/>
      <c r="I331" s="166"/>
      <c r="J331" s="166"/>
      <c r="K331" s="176"/>
      <c r="L331" s="174" t="s">
        <v>53</v>
      </c>
      <c r="M331" s="174">
        <f t="shared" si="9"/>
        <v>60</v>
      </c>
      <c r="N331" s="174">
        <v>4</v>
      </c>
      <c r="O331" s="166"/>
      <c r="P331" s="177"/>
      <c r="Q331" s="171"/>
      <c r="R331" s="166"/>
      <c r="S331" s="94"/>
    </row>
    <row r="332" s="92" customFormat="1" ht="23" customHeight="1" spans="1:19">
      <c r="A332" s="166"/>
      <c r="B332" s="166"/>
      <c r="C332" s="166"/>
      <c r="D332" s="170"/>
      <c r="E332" s="166"/>
      <c r="F332" s="166"/>
      <c r="G332" s="166"/>
      <c r="H332" s="166"/>
      <c r="I332" s="166"/>
      <c r="J332" s="166"/>
      <c r="K332" s="176"/>
      <c r="L332" s="173" t="s">
        <v>88</v>
      </c>
      <c r="M332" s="174">
        <f t="shared" si="9"/>
        <v>64</v>
      </c>
      <c r="N332" s="174">
        <v>4</v>
      </c>
      <c r="O332" s="166"/>
      <c r="P332" s="177"/>
      <c r="Q332" s="171"/>
      <c r="R332" s="166"/>
      <c r="S332" s="94"/>
    </row>
    <row r="333" s="92" customFormat="1" ht="23" customHeight="1" spans="1:19">
      <c r="A333" s="166"/>
      <c r="B333" s="166"/>
      <c r="C333" s="166"/>
      <c r="D333" s="170"/>
      <c r="E333" s="166"/>
      <c r="F333" s="166"/>
      <c r="G333" s="166"/>
      <c r="H333" s="166"/>
      <c r="I333" s="166"/>
      <c r="J333" s="166"/>
      <c r="K333" s="176"/>
      <c r="L333" s="174" t="s">
        <v>1252</v>
      </c>
      <c r="M333" s="174">
        <f t="shared" si="9"/>
        <v>68</v>
      </c>
      <c r="N333" s="174">
        <v>4</v>
      </c>
      <c r="O333" s="166"/>
      <c r="P333" s="177"/>
      <c r="Q333" s="171"/>
      <c r="R333" s="166"/>
      <c r="S333" s="94"/>
    </row>
    <row r="334" s="92" customFormat="1" ht="23" customHeight="1" spans="1:19">
      <c r="A334" s="170" t="s">
        <v>1455</v>
      </c>
      <c r="B334" s="170" t="s">
        <v>1456</v>
      </c>
      <c r="C334" s="170" t="s">
        <v>1448</v>
      </c>
      <c r="D334" s="170"/>
      <c r="E334" s="170" t="s">
        <v>1449</v>
      </c>
      <c r="F334" s="170" t="s">
        <v>1450</v>
      </c>
      <c r="G334" s="170" t="s">
        <v>1345</v>
      </c>
      <c r="H334" s="170" t="s">
        <v>1457</v>
      </c>
      <c r="I334" s="170" t="s">
        <v>1347</v>
      </c>
      <c r="J334" s="170">
        <v>7079</v>
      </c>
      <c r="K334" s="172" t="s">
        <v>1241</v>
      </c>
      <c r="L334" s="173" t="s">
        <v>87</v>
      </c>
      <c r="M334" s="174">
        <v>0</v>
      </c>
      <c r="N334" s="174">
        <v>4</v>
      </c>
      <c r="O334" s="170">
        <v>100</v>
      </c>
      <c r="P334" s="175" t="s">
        <v>1452</v>
      </c>
      <c r="Q334" s="171"/>
      <c r="R334" s="170" t="s">
        <v>1349</v>
      </c>
      <c r="S334" s="94"/>
    </row>
    <row r="335" s="92" customFormat="1" ht="23" customHeight="1" spans="1:19">
      <c r="A335" s="166"/>
      <c r="B335" s="166"/>
      <c r="C335" s="166"/>
      <c r="D335" s="170"/>
      <c r="E335" s="166"/>
      <c r="F335" s="166"/>
      <c r="G335" s="166"/>
      <c r="H335" s="166"/>
      <c r="I335" s="166"/>
      <c r="J335" s="166"/>
      <c r="K335" s="176"/>
      <c r="L335" s="173" t="s">
        <v>88</v>
      </c>
      <c r="M335" s="174">
        <f t="shared" ref="M335:M351" si="10">M334+N334</f>
        <v>4</v>
      </c>
      <c r="N335" s="174">
        <v>4</v>
      </c>
      <c r="O335" s="166"/>
      <c r="P335" s="177"/>
      <c r="Q335" s="171"/>
      <c r="R335" s="166"/>
      <c r="S335" s="94"/>
    </row>
    <row r="336" s="92" customFormat="1" ht="23" customHeight="1" spans="1:19">
      <c r="A336" s="166"/>
      <c r="B336" s="166"/>
      <c r="C336" s="166"/>
      <c r="D336" s="170"/>
      <c r="E336" s="166"/>
      <c r="F336" s="166"/>
      <c r="G336" s="166"/>
      <c r="H336" s="166"/>
      <c r="I336" s="166"/>
      <c r="J336" s="166"/>
      <c r="K336" s="176"/>
      <c r="L336" s="174" t="s">
        <v>1242</v>
      </c>
      <c r="M336" s="174">
        <f t="shared" si="10"/>
        <v>8</v>
      </c>
      <c r="N336" s="174">
        <v>4</v>
      </c>
      <c r="O336" s="166"/>
      <c r="P336" s="177"/>
      <c r="Q336" s="171"/>
      <c r="R336" s="166"/>
      <c r="S336" s="94"/>
    </row>
    <row r="337" s="92" customFormat="1" ht="23" customHeight="1" spans="1:19">
      <c r="A337" s="166"/>
      <c r="B337" s="166"/>
      <c r="C337" s="166"/>
      <c r="D337" s="170" t="s">
        <v>1453</v>
      </c>
      <c r="E337" s="166"/>
      <c r="F337" s="166"/>
      <c r="G337" s="166"/>
      <c r="H337" s="166"/>
      <c r="I337" s="166"/>
      <c r="J337" s="166"/>
      <c r="K337" s="176"/>
      <c r="L337" s="174" t="s">
        <v>1243</v>
      </c>
      <c r="M337" s="174">
        <f t="shared" si="10"/>
        <v>12</v>
      </c>
      <c r="N337" s="174">
        <v>4</v>
      </c>
      <c r="O337" s="166"/>
      <c r="P337" s="177"/>
      <c r="Q337" s="171" t="s">
        <v>1454</v>
      </c>
      <c r="R337" s="166"/>
      <c r="S337" s="94"/>
    </row>
    <row r="338" s="92" customFormat="1" ht="23" customHeight="1" spans="1:19">
      <c r="A338" s="166"/>
      <c r="B338" s="166"/>
      <c r="C338" s="166"/>
      <c r="D338" s="170" t="s">
        <v>1453</v>
      </c>
      <c r="E338" s="166"/>
      <c r="F338" s="166"/>
      <c r="G338" s="166"/>
      <c r="H338" s="166"/>
      <c r="I338" s="166"/>
      <c r="J338" s="166"/>
      <c r="K338" s="176"/>
      <c r="L338" s="174" t="s">
        <v>1244</v>
      </c>
      <c r="M338" s="174">
        <f t="shared" si="10"/>
        <v>16</v>
      </c>
      <c r="N338" s="174">
        <v>4</v>
      </c>
      <c r="O338" s="166"/>
      <c r="P338" s="177"/>
      <c r="Q338" s="171" t="s">
        <v>1454</v>
      </c>
      <c r="R338" s="166"/>
      <c r="S338" s="94"/>
    </row>
    <row r="339" s="92" customFormat="1" ht="23" customHeight="1" spans="1:19">
      <c r="A339" s="166"/>
      <c r="B339" s="166"/>
      <c r="C339" s="166"/>
      <c r="D339" s="170"/>
      <c r="E339" s="166"/>
      <c r="F339" s="166"/>
      <c r="G339" s="166"/>
      <c r="H339" s="166"/>
      <c r="I339" s="166"/>
      <c r="J339" s="166"/>
      <c r="K339" s="176"/>
      <c r="L339" s="174" t="s">
        <v>1245</v>
      </c>
      <c r="M339" s="174">
        <f t="shared" si="10"/>
        <v>20</v>
      </c>
      <c r="N339" s="174">
        <v>4</v>
      </c>
      <c r="O339" s="166"/>
      <c r="P339" s="177"/>
      <c r="Q339" s="171"/>
      <c r="R339" s="166"/>
      <c r="S339" s="94"/>
    </row>
    <row r="340" s="92" customFormat="1" ht="23" customHeight="1" spans="1:19">
      <c r="A340" s="166"/>
      <c r="B340" s="166"/>
      <c r="C340" s="166"/>
      <c r="D340" s="170"/>
      <c r="E340" s="166"/>
      <c r="F340" s="166"/>
      <c r="G340" s="166"/>
      <c r="H340" s="166"/>
      <c r="I340" s="166"/>
      <c r="J340" s="166"/>
      <c r="K340" s="176"/>
      <c r="L340" s="173" t="s">
        <v>88</v>
      </c>
      <c r="M340" s="174">
        <f t="shared" si="10"/>
        <v>24</v>
      </c>
      <c r="N340" s="174">
        <v>4</v>
      </c>
      <c r="O340" s="166"/>
      <c r="P340" s="177"/>
      <c r="Q340" s="171"/>
      <c r="R340" s="166"/>
      <c r="S340" s="94"/>
    </row>
    <row r="341" s="92" customFormat="1" ht="40" customHeight="1" spans="1:19">
      <c r="A341" s="166"/>
      <c r="B341" s="166"/>
      <c r="C341" s="166"/>
      <c r="D341" s="170"/>
      <c r="E341" s="166"/>
      <c r="F341" s="166"/>
      <c r="G341" s="166"/>
      <c r="H341" s="166"/>
      <c r="I341" s="166"/>
      <c r="J341" s="166"/>
      <c r="K341" s="176"/>
      <c r="L341" s="174" t="s">
        <v>1246</v>
      </c>
      <c r="M341" s="174">
        <f t="shared" si="10"/>
        <v>28</v>
      </c>
      <c r="N341" s="174">
        <v>4</v>
      </c>
      <c r="O341" s="166"/>
      <c r="P341" s="177"/>
      <c r="Q341" s="171"/>
      <c r="R341" s="166"/>
      <c r="S341" s="94"/>
    </row>
    <row r="342" s="92" customFormat="1" ht="43" customHeight="1" spans="1:19">
      <c r="A342" s="166"/>
      <c r="B342" s="166"/>
      <c r="C342" s="166"/>
      <c r="D342" s="170"/>
      <c r="E342" s="166"/>
      <c r="F342" s="166"/>
      <c r="G342" s="166"/>
      <c r="H342" s="166"/>
      <c r="I342" s="166"/>
      <c r="J342" s="166"/>
      <c r="K342" s="176"/>
      <c r="L342" s="174" t="s">
        <v>51</v>
      </c>
      <c r="M342" s="174">
        <f t="shared" si="10"/>
        <v>32</v>
      </c>
      <c r="N342" s="174">
        <v>4</v>
      </c>
      <c r="O342" s="166"/>
      <c r="P342" s="177"/>
      <c r="Q342" s="171"/>
      <c r="R342" s="166"/>
      <c r="S342" s="94"/>
    </row>
    <row r="343" s="92" customFormat="1" ht="23" customHeight="1" spans="1:19">
      <c r="A343" s="166"/>
      <c r="B343" s="166"/>
      <c r="C343" s="166"/>
      <c r="D343" s="170"/>
      <c r="E343" s="166"/>
      <c r="F343" s="166"/>
      <c r="G343" s="166"/>
      <c r="H343" s="166"/>
      <c r="I343" s="166"/>
      <c r="J343" s="166"/>
      <c r="K343" s="176"/>
      <c r="L343" s="174" t="s">
        <v>1247</v>
      </c>
      <c r="M343" s="174">
        <f t="shared" si="10"/>
        <v>36</v>
      </c>
      <c r="N343" s="174">
        <v>4</v>
      </c>
      <c r="O343" s="166"/>
      <c r="P343" s="177"/>
      <c r="Q343" s="171"/>
      <c r="R343" s="166"/>
      <c r="S343" s="94"/>
    </row>
    <row r="344" s="92" customFormat="1" ht="23" customHeight="1" spans="1:19">
      <c r="A344" s="166"/>
      <c r="B344" s="166"/>
      <c r="C344" s="166"/>
      <c r="D344" s="170"/>
      <c r="E344" s="166"/>
      <c r="F344" s="166"/>
      <c r="G344" s="166"/>
      <c r="H344" s="166"/>
      <c r="I344" s="166"/>
      <c r="J344" s="166"/>
      <c r="K344" s="176"/>
      <c r="L344" s="174" t="s">
        <v>1248</v>
      </c>
      <c r="M344" s="174">
        <f t="shared" si="10"/>
        <v>40</v>
      </c>
      <c r="N344" s="174">
        <v>4</v>
      </c>
      <c r="O344" s="166"/>
      <c r="P344" s="177"/>
      <c r="Q344" s="171"/>
      <c r="R344" s="166"/>
      <c r="S344" s="94"/>
    </row>
    <row r="345" s="92" customFormat="1" ht="23" customHeight="1" spans="1:19">
      <c r="A345" s="166"/>
      <c r="B345" s="166"/>
      <c r="C345" s="166"/>
      <c r="D345" s="170"/>
      <c r="E345" s="166"/>
      <c r="F345" s="166"/>
      <c r="G345" s="166"/>
      <c r="H345" s="166"/>
      <c r="I345" s="166"/>
      <c r="J345" s="166"/>
      <c r="K345" s="176"/>
      <c r="L345" s="173" t="s">
        <v>88</v>
      </c>
      <c r="M345" s="174">
        <f t="shared" si="10"/>
        <v>44</v>
      </c>
      <c r="N345" s="174">
        <v>4</v>
      </c>
      <c r="O345" s="166"/>
      <c r="P345" s="177"/>
      <c r="Q345" s="171"/>
      <c r="R345" s="166"/>
      <c r="S345" s="94"/>
    </row>
    <row r="346" s="92" customFormat="1" ht="23" customHeight="1" spans="1:19">
      <c r="A346" s="166"/>
      <c r="B346" s="166"/>
      <c r="C346" s="166"/>
      <c r="D346" s="170"/>
      <c r="E346" s="166"/>
      <c r="F346" s="166"/>
      <c r="G346" s="166"/>
      <c r="H346" s="166"/>
      <c r="I346" s="166"/>
      <c r="J346" s="166"/>
      <c r="K346" s="176"/>
      <c r="L346" s="174" t="s">
        <v>1249</v>
      </c>
      <c r="M346" s="174">
        <f t="shared" si="10"/>
        <v>48</v>
      </c>
      <c r="N346" s="174">
        <v>4</v>
      </c>
      <c r="O346" s="166"/>
      <c r="P346" s="177"/>
      <c r="Q346" s="171"/>
      <c r="R346" s="166"/>
      <c r="S346" s="94"/>
    </row>
    <row r="347" s="92" customFormat="1" ht="23" customHeight="1" spans="1:19">
      <c r="A347" s="166"/>
      <c r="B347" s="166"/>
      <c r="C347" s="166"/>
      <c r="D347" s="170"/>
      <c r="E347" s="166"/>
      <c r="F347" s="166"/>
      <c r="G347" s="166"/>
      <c r="H347" s="166"/>
      <c r="I347" s="166"/>
      <c r="J347" s="166"/>
      <c r="K347" s="176"/>
      <c r="L347" s="174" t="s">
        <v>1250</v>
      </c>
      <c r="M347" s="174">
        <f t="shared" si="10"/>
        <v>52</v>
      </c>
      <c r="N347" s="174">
        <v>4</v>
      </c>
      <c r="O347" s="166"/>
      <c r="P347" s="177"/>
      <c r="Q347" s="171"/>
      <c r="R347" s="166"/>
      <c r="S347" s="94"/>
    </row>
    <row r="348" s="92" customFormat="1" ht="23" customHeight="1" spans="1:19">
      <c r="A348" s="166"/>
      <c r="B348" s="166"/>
      <c r="C348" s="166"/>
      <c r="D348" s="170"/>
      <c r="E348" s="166"/>
      <c r="F348" s="166"/>
      <c r="G348" s="166"/>
      <c r="H348" s="166"/>
      <c r="I348" s="166"/>
      <c r="J348" s="166"/>
      <c r="K348" s="176"/>
      <c r="L348" s="174" t="s">
        <v>1251</v>
      </c>
      <c r="M348" s="174">
        <f t="shared" si="10"/>
        <v>56</v>
      </c>
      <c r="N348" s="174">
        <v>4</v>
      </c>
      <c r="O348" s="166"/>
      <c r="P348" s="177"/>
      <c r="Q348" s="171"/>
      <c r="R348" s="166"/>
      <c r="S348" s="94"/>
    </row>
    <row r="349" s="92" customFormat="1" ht="23" customHeight="1" spans="1:19">
      <c r="A349" s="166"/>
      <c r="B349" s="166"/>
      <c r="C349" s="166"/>
      <c r="D349" s="170"/>
      <c r="E349" s="166"/>
      <c r="F349" s="166"/>
      <c r="G349" s="166"/>
      <c r="H349" s="166"/>
      <c r="I349" s="166"/>
      <c r="J349" s="166"/>
      <c r="K349" s="176"/>
      <c r="L349" s="174" t="s">
        <v>53</v>
      </c>
      <c r="M349" s="174">
        <f t="shared" si="10"/>
        <v>60</v>
      </c>
      <c r="N349" s="174">
        <v>4</v>
      </c>
      <c r="O349" s="166"/>
      <c r="P349" s="177"/>
      <c r="Q349" s="171"/>
      <c r="R349" s="166"/>
      <c r="S349" s="94"/>
    </row>
    <row r="350" s="92" customFormat="1" ht="23" customHeight="1" spans="1:19">
      <c r="A350" s="166"/>
      <c r="B350" s="166"/>
      <c r="C350" s="166"/>
      <c r="D350" s="170"/>
      <c r="E350" s="166"/>
      <c r="F350" s="166"/>
      <c r="G350" s="166"/>
      <c r="H350" s="166"/>
      <c r="I350" s="166"/>
      <c r="J350" s="166"/>
      <c r="K350" s="176"/>
      <c r="L350" s="173" t="s">
        <v>88</v>
      </c>
      <c r="M350" s="174">
        <f t="shared" si="10"/>
        <v>64</v>
      </c>
      <c r="N350" s="174">
        <v>4</v>
      </c>
      <c r="O350" s="166"/>
      <c r="P350" s="177"/>
      <c r="Q350" s="171"/>
      <c r="R350" s="166"/>
      <c r="S350" s="94"/>
    </row>
    <row r="351" s="92" customFormat="1" ht="23" customHeight="1" spans="1:19">
      <c r="A351" s="166"/>
      <c r="B351" s="166"/>
      <c r="C351" s="166"/>
      <c r="D351" s="170"/>
      <c r="E351" s="166"/>
      <c r="F351" s="166"/>
      <c r="G351" s="166"/>
      <c r="H351" s="166"/>
      <c r="I351" s="166"/>
      <c r="J351" s="166"/>
      <c r="K351" s="176"/>
      <c r="L351" s="174" t="s">
        <v>1252</v>
      </c>
      <c r="M351" s="174">
        <f t="shared" si="10"/>
        <v>68</v>
      </c>
      <c r="N351" s="174">
        <v>4</v>
      </c>
      <c r="O351" s="166"/>
      <c r="P351" s="177"/>
      <c r="Q351" s="171"/>
      <c r="R351" s="166"/>
      <c r="S351" s="94"/>
    </row>
    <row r="352" s="92" customFormat="1" ht="23" customHeight="1" spans="1:19">
      <c r="A352" s="101" t="s">
        <v>1458</v>
      </c>
      <c r="B352" s="101" t="s">
        <v>1459</v>
      </c>
      <c r="C352" s="101" t="s">
        <v>1414</v>
      </c>
      <c r="D352" s="102" t="s">
        <v>1460</v>
      </c>
      <c r="E352" s="102" t="s">
        <v>1461</v>
      </c>
      <c r="F352" s="101" t="s">
        <v>1373</v>
      </c>
      <c r="G352" s="101" t="s">
        <v>1345</v>
      </c>
      <c r="H352" s="101" t="s">
        <v>1417</v>
      </c>
      <c r="I352" s="104" t="s">
        <v>1462</v>
      </c>
      <c r="J352" s="101">
        <v>8021</v>
      </c>
      <c r="K352" s="107" t="s">
        <v>1371</v>
      </c>
      <c r="L352" s="105" t="s">
        <v>87</v>
      </c>
      <c r="M352" s="106">
        <v>0</v>
      </c>
      <c r="N352" s="106">
        <v>4</v>
      </c>
      <c r="O352" s="107">
        <v>100</v>
      </c>
      <c r="P352" s="96"/>
      <c r="Q352" s="108"/>
      <c r="R352" s="101" t="s">
        <v>1373</v>
      </c>
      <c r="S352" s="94"/>
    </row>
    <row r="353" s="92" customFormat="1" spans="1:21">
      <c r="A353" s="101"/>
      <c r="B353" s="101"/>
      <c r="C353" s="101"/>
      <c r="D353" s="109"/>
      <c r="E353" s="109"/>
      <c r="F353" s="101"/>
      <c r="G353" s="101"/>
      <c r="H353" s="101"/>
      <c r="I353" s="107"/>
      <c r="J353" s="101"/>
      <c r="K353" s="107"/>
      <c r="L353" s="105" t="s">
        <v>88</v>
      </c>
      <c r="M353" s="106">
        <v>4</v>
      </c>
      <c r="N353" s="106">
        <v>4</v>
      </c>
      <c r="O353" s="107"/>
      <c r="P353" s="96"/>
      <c r="Q353" s="108"/>
      <c r="R353" s="101"/>
      <c r="S353" s="94"/>
    </row>
    <row r="354" s="92" customFormat="1" ht="28.8" spans="1:21">
      <c r="A354" s="101"/>
      <c r="B354" s="101"/>
      <c r="C354" s="101"/>
      <c r="D354" s="109"/>
      <c r="E354" s="109"/>
      <c r="F354" s="101"/>
      <c r="G354" s="101"/>
      <c r="H354" s="101"/>
      <c r="I354" s="107"/>
      <c r="J354" s="101"/>
      <c r="K354" s="107"/>
      <c r="L354" s="113" t="s">
        <v>41</v>
      </c>
      <c r="M354" s="106">
        <v>8</v>
      </c>
      <c r="N354" s="106">
        <v>4</v>
      </c>
      <c r="O354" s="107"/>
      <c r="P354" s="96"/>
      <c r="Q354" s="108" t="s">
        <v>1463</v>
      </c>
      <c r="R354" s="101"/>
      <c r="S354" s="94"/>
    </row>
    <row r="355" s="92" customFormat="1" ht="35" customHeight="1" spans="1:21">
      <c r="A355" s="101"/>
      <c r="B355" s="101"/>
      <c r="C355" s="101"/>
      <c r="D355" s="111"/>
      <c r="E355" s="111"/>
      <c r="F355" s="101"/>
      <c r="G355" s="101"/>
      <c r="H355" s="101"/>
      <c r="I355" s="107"/>
      <c r="J355" s="101"/>
      <c r="K355" s="107"/>
      <c r="L355" s="113" t="s">
        <v>1464</v>
      </c>
      <c r="M355" s="106">
        <v>12</v>
      </c>
      <c r="N355" s="106">
        <v>4</v>
      </c>
      <c r="O355" s="107"/>
      <c r="P355" s="114"/>
      <c r="Q355" s="108" t="s">
        <v>1465</v>
      </c>
      <c r="R355" s="101"/>
      <c r="S355" s="94"/>
    </row>
    <row r="356" s="92" customFormat="1" ht="23" customHeight="1" spans="1:21">
      <c r="A356" s="101" t="s">
        <v>1466</v>
      </c>
      <c r="B356" s="101" t="s">
        <v>1467</v>
      </c>
      <c r="C356" s="101" t="s">
        <v>1424</v>
      </c>
      <c r="D356" s="102" t="s">
        <v>1460</v>
      </c>
      <c r="E356" s="102" t="s">
        <v>1461</v>
      </c>
      <c r="F356" s="101" t="s">
        <v>1373</v>
      </c>
      <c r="G356" s="101" t="s">
        <v>1345</v>
      </c>
      <c r="H356" s="101" t="s">
        <v>1425</v>
      </c>
      <c r="I356" s="104" t="s">
        <v>1462</v>
      </c>
      <c r="J356" s="101">
        <v>8022</v>
      </c>
      <c r="K356" s="107" t="s">
        <v>1371</v>
      </c>
      <c r="L356" s="105" t="s">
        <v>87</v>
      </c>
      <c r="M356" s="106">
        <v>0</v>
      </c>
      <c r="N356" s="106">
        <v>4</v>
      </c>
      <c r="O356" s="107">
        <v>100</v>
      </c>
      <c r="P356" s="96"/>
      <c r="Q356" s="108"/>
      <c r="R356" s="101" t="s">
        <v>1373</v>
      </c>
      <c r="S356" s="94"/>
    </row>
    <row r="357" s="92" customFormat="1" spans="1:21">
      <c r="A357" s="101"/>
      <c r="B357" s="101"/>
      <c r="C357" s="101"/>
      <c r="D357" s="109"/>
      <c r="E357" s="109"/>
      <c r="F357" s="101"/>
      <c r="G357" s="101"/>
      <c r="H357" s="101"/>
      <c r="I357" s="107"/>
      <c r="J357" s="101"/>
      <c r="K357" s="107"/>
      <c r="L357" s="105" t="s">
        <v>88</v>
      </c>
      <c r="M357" s="106">
        <v>4</v>
      </c>
      <c r="N357" s="106">
        <v>4</v>
      </c>
      <c r="O357" s="107"/>
      <c r="P357" s="96"/>
      <c r="Q357" s="108"/>
      <c r="R357" s="101"/>
      <c r="S357" s="94"/>
    </row>
    <row r="358" s="92" customFormat="1" ht="28.8" spans="1:21">
      <c r="A358" s="101"/>
      <c r="B358" s="101"/>
      <c r="C358" s="101"/>
      <c r="D358" s="109"/>
      <c r="E358" s="109"/>
      <c r="F358" s="101"/>
      <c r="G358" s="101"/>
      <c r="H358" s="101"/>
      <c r="I358" s="107"/>
      <c r="J358" s="101"/>
      <c r="K358" s="107"/>
      <c r="L358" s="113" t="s">
        <v>42</v>
      </c>
      <c r="M358" s="106">
        <v>8</v>
      </c>
      <c r="N358" s="106">
        <v>4</v>
      </c>
      <c r="O358" s="107"/>
      <c r="P358" s="96"/>
      <c r="Q358" s="108" t="s">
        <v>1463</v>
      </c>
      <c r="R358" s="101"/>
      <c r="S358" s="94"/>
    </row>
    <row r="359" s="92" customFormat="1" ht="18" customHeight="1" spans="1:21">
      <c r="A359" s="101"/>
      <c r="B359" s="101"/>
      <c r="C359" s="101"/>
      <c r="D359" s="111"/>
      <c r="E359" s="111"/>
      <c r="F359" s="101"/>
      <c r="G359" s="101"/>
      <c r="H359" s="101"/>
      <c r="I359" s="107"/>
      <c r="J359" s="101"/>
      <c r="K359" s="107"/>
      <c r="L359" s="113" t="s">
        <v>1468</v>
      </c>
      <c r="M359" s="106">
        <v>12</v>
      </c>
      <c r="N359" s="106">
        <v>4</v>
      </c>
      <c r="O359" s="107"/>
      <c r="P359" s="114"/>
      <c r="Q359" s="108" t="s">
        <v>1465</v>
      </c>
      <c r="R359" s="101"/>
      <c r="S359" s="94"/>
    </row>
    <row r="360" s="92" customFormat="1" ht="23" customHeight="1" spans="1:21">
      <c r="A360" s="101" t="s">
        <v>1469</v>
      </c>
      <c r="B360" s="101" t="s">
        <v>1470</v>
      </c>
      <c r="C360" s="101" t="s">
        <v>1429</v>
      </c>
      <c r="D360" s="102" t="s">
        <v>1460</v>
      </c>
      <c r="E360" s="102" t="s">
        <v>1461</v>
      </c>
      <c r="F360" s="101" t="s">
        <v>1373</v>
      </c>
      <c r="G360" s="101" t="s">
        <v>1345</v>
      </c>
      <c r="H360" s="101" t="s">
        <v>1430</v>
      </c>
      <c r="I360" s="104" t="s">
        <v>1462</v>
      </c>
      <c r="J360" s="101">
        <v>8023</v>
      </c>
      <c r="K360" s="107" t="s">
        <v>1371</v>
      </c>
      <c r="L360" s="105" t="s">
        <v>87</v>
      </c>
      <c r="M360" s="106">
        <v>0</v>
      </c>
      <c r="N360" s="106">
        <v>4</v>
      </c>
      <c r="O360" s="107">
        <v>100</v>
      </c>
      <c r="P360" s="96"/>
      <c r="Q360" s="108"/>
      <c r="R360" s="101" t="s">
        <v>1373</v>
      </c>
      <c r="S360" s="94"/>
    </row>
    <row r="361" s="92" customFormat="1" spans="1:21">
      <c r="A361" s="101"/>
      <c r="B361" s="101"/>
      <c r="C361" s="101"/>
      <c r="D361" s="109"/>
      <c r="E361" s="109"/>
      <c r="F361" s="101"/>
      <c r="G361" s="101"/>
      <c r="H361" s="101"/>
      <c r="I361" s="107"/>
      <c r="J361" s="101"/>
      <c r="K361" s="107"/>
      <c r="L361" s="105" t="s">
        <v>88</v>
      </c>
      <c r="M361" s="106">
        <v>4</v>
      </c>
      <c r="N361" s="106">
        <v>4</v>
      </c>
      <c r="O361" s="107"/>
      <c r="P361" s="96"/>
      <c r="Q361" s="108"/>
      <c r="R361" s="101"/>
      <c r="S361" s="94"/>
    </row>
    <row r="362" s="92" customFormat="1" ht="28.8" spans="1:21">
      <c r="A362" s="101"/>
      <c r="B362" s="101"/>
      <c r="C362" s="101"/>
      <c r="D362" s="109"/>
      <c r="E362" s="109"/>
      <c r="F362" s="101"/>
      <c r="G362" s="101"/>
      <c r="H362" s="101"/>
      <c r="I362" s="107"/>
      <c r="J362" s="101"/>
      <c r="K362" s="107"/>
      <c r="L362" s="113" t="s">
        <v>43</v>
      </c>
      <c r="M362" s="106">
        <v>8</v>
      </c>
      <c r="N362" s="106">
        <v>4</v>
      </c>
      <c r="O362" s="107"/>
      <c r="P362" s="96"/>
      <c r="Q362" s="108" t="s">
        <v>1463</v>
      </c>
      <c r="R362" s="101"/>
      <c r="S362" s="94"/>
    </row>
    <row r="363" s="92" customFormat="1" ht="15" customHeight="1" spans="1:21">
      <c r="A363" s="101"/>
      <c r="B363" s="101"/>
      <c r="C363" s="101"/>
      <c r="D363" s="111"/>
      <c r="E363" s="111"/>
      <c r="F363" s="101"/>
      <c r="G363" s="101"/>
      <c r="H363" s="101"/>
      <c r="I363" s="107"/>
      <c r="J363" s="101"/>
      <c r="K363" s="107"/>
      <c r="L363" s="113" t="s">
        <v>1471</v>
      </c>
      <c r="M363" s="106">
        <v>12</v>
      </c>
      <c r="N363" s="106">
        <v>4</v>
      </c>
      <c r="O363" s="107"/>
      <c r="P363" s="114"/>
      <c r="Q363" s="108" t="s">
        <v>1465</v>
      </c>
      <c r="R363" s="101"/>
      <c r="S363" s="94"/>
    </row>
    <row r="364" s="92" customFormat="1" ht="23" customHeight="1" spans="1:21">
      <c r="A364" s="101" t="s">
        <v>1472</v>
      </c>
      <c r="B364" s="101" t="s">
        <v>1473</v>
      </c>
      <c r="C364" s="101" t="s">
        <v>1474</v>
      </c>
      <c r="D364" s="102" t="s">
        <v>1460</v>
      </c>
      <c r="E364" s="102" t="s">
        <v>1461</v>
      </c>
      <c r="F364" s="101" t="s">
        <v>1373</v>
      </c>
      <c r="G364" s="101" t="s">
        <v>1345</v>
      </c>
      <c r="H364" s="101" t="s">
        <v>1430</v>
      </c>
      <c r="I364" s="104" t="s">
        <v>1462</v>
      </c>
      <c r="J364" s="101">
        <v>8024</v>
      </c>
      <c r="K364" s="107" t="s">
        <v>1371</v>
      </c>
      <c r="L364" s="105" t="s">
        <v>87</v>
      </c>
      <c r="M364" s="106">
        <v>0</v>
      </c>
      <c r="N364" s="106">
        <v>4</v>
      </c>
      <c r="O364" s="107">
        <v>100</v>
      </c>
      <c r="P364" s="96"/>
      <c r="Q364" s="108"/>
      <c r="R364" s="101" t="s">
        <v>1373</v>
      </c>
      <c r="S364" s="94"/>
    </row>
    <row r="365" s="92" customFormat="1" spans="1:21">
      <c r="A365" s="101"/>
      <c r="B365" s="101"/>
      <c r="C365" s="101"/>
      <c r="D365" s="109"/>
      <c r="E365" s="109"/>
      <c r="F365" s="101"/>
      <c r="G365" s="101"/>
      <c r="H365" s="101"/>
      <c r="I365" s="107"/>
      <c r="J365" s="101"/>
      <c r="K365" s="107"/>
      <c r="L365" s="105" t="s">
        <v>88</v>
      </c>
      <c r="M365" s="106">
        <v>4</v>
      </c>
      <c r="N365" s="106">
        <v>4</v>
      </c>
      <c r="O365" s="107"/>
      <c r="P365" s="96"/>
      <c r="Q365" s="108"/>
      <c r="R365" s="101"/>
      <c r="S365" s="94"/>
    </row>
    <row r="366" s="92" customFormat="1" ht="28.8" spans="1:21">
      <c r="A366" s="101"/>
      <c r="B366" s="101"/>
      <c r="C366" s="101"/>
      <c r="D366" s="109"/>
      <c r="E366" s="109"/>
      <c r="F366" s="101"/>
      <c r="G366" s="101"/>
      <c r="H366" s="101"/>
      <c r="I366" s="107"/>
      <c r="J366" s="101"/>
      <c r="K366" s="107"/>
      <c r="L366" s="113" t="s">
        <v>44</v>
      </c>
      <c r="M366" s="106">
        <v>8</v>
      </c>
      <c r="N366" s="106">
        <v>4</v>
      </c>
      <c r="O366" s="107"/>
      <c r="P366" s="96"/>
      <c r="Q366" s="108" t="s">
        <v>1463</v>
      </c>
      <c r="R366" s="101"/>
      <c r="S366" s="94"/>
    </row>
    <row r="367" s="92" customFormat="1" ht="18" customHeight="1" spans="1:21">
      <c r="A367" s="101"/>
      <c r="B367" s="101"/>
      <c r="C367" s="101"/>
      <c r="D367" s="111"/>
      <c r="E367" s="111"/>
      <c r="F367" s="101"/>
      <c r="G367" s="101"/>
      <c r="H367" s="101"/>
      <c r="I367" s="107"/>
      <c r="J367" s="101"/>
      <c r="K367" s="107"/>
      <c r="L367" s="113" t="s">
        <v>1475</v>
      </c>
      <c r="M367" s="106">
        <v>12</v>
      </c>
      <c r="N367" s="106">
        <v>4</v>
      </c>
      <c r="O367" s="107"/>
      <c r="P367" s="114"/>
      <c r="Q367" s="108" t="s">
        <v>1465</v>
      </c>
      <c r="R367" s="101"/>
      <c r="S367" s="94"/>
    </row>
    <row r="368" s="1" customFormat="1" ht="25" customHeight="1" spans="1:21">
      <c r="A368" s="178"/>
      <c r="B368" s="179" t="s">
        <v>1476</v>
      </c>
      <c r="C368" s="179" t="s">
        <v>1341</v>
      </c>
      <c r="D368" s="179" t="s">
        <v>1477</v>
      </c>
      <c r="E368" s="180">
        <v>1303201</v>
      </c>
      <c r="F368" s="180" t="s">
        <v>19</v>
      </c>
      <c r="G368" s="101" t="s">
        <v>1345</v>
      </c>
      <c r="H368" s="180" t="s">
        <v>1346</v>
      </c>
      <c r="I368" s="180" t="s">
        <v>1398</v>
      </c>
      <c r="J368" s="180">
        <v>8025</v>
      </c>
      <c r="K368" s="180" t="s">
        <v>1403</v>
      </c>
      <c r="L368" s="181" t="s">
        <v>87</v>
      </c>
      <c r="M368" s="182">
        <v>0</v>
      </c>
      <c r="N368" s="182">
        <v>4</v>
      </c>
      <c r="O368" s="137">
        <v>100</v>
      </c>
      <c r="P368" s="137" t="s">
        <v>1478</v>
      </c>
      <c r="Q368" s="94"/>
      <c r="R368" s="180" t="s">
        <v>19</v>
      </c>
      <c r="S368" s="183"/>
      <c r="T368" s="184"/>
      <c r="U368" s="92"/>
    </row>
    <row r="369" s="1" customFormat="1" ht="25" customHeight="1" spans="1:22">
      <c r="A369" s="178"/>
      <c r="B369" s="185"/>
      <c r="C369" s="185"/>
      <c r="D369" s="185"/>
      <c r="E369" s="186"/>
      <c r="F369" s="186"/>
      <c r="G369" s="101"/>
      <c r="H369" s="186"/>
      <c r="I369" s="186"/>
      <c r="J369" s="186"/>
      <c r="K369" s="186"/>
      <c r="L369" s="181" t="s">
        <v>88</v>
      </c>
      <c r="M369" s="182">
        <v>4</v>
      </c>
      <c r="N369" s="182">
        <v>4</v>
      </c>
      <c r="O369" s="137"/>
      <c r="P369" s="137"/>
      <c r="Q369" s="94"/>
      <c r="R369" s="186"/>
      <c r="S369" s="183"/>
      <c r="T369" s="184"/>
      <c r="U369" s="92"/>
    </row>
    <row r="370" s="1" customFormat="1" ht="25" customHeight="1" spans="1:22">
      <c r="A370" s="178"/>
      <c r="B370" s="185"/>
      <c r="C370" s="185"/>
      <c r="D370" s="185"/>
      <c r="E370" s="186"/>
      <c r="F370" s="186"/>
      <c r="G370" s="101"/>
      <c r="H370" s="186"/>
      <c r="I370" s="186"/>
      <c r="J370" s="186"/>
      <c r="K370" s="186"/>
      <c r="L370" s="129" t="s">
        <v>89</v>
      </c>
      <c r="M370" s="116">
        <v>8</v>
      </c>
      <c r="N370" s="117">
        <v>4</v>
      </c>
      <c r="O370" s="137"/>
      <c r="P370" s="137"/>
      <c r="Q370" s="94"/>
      <c r="R370" s="186"/>
      <c r="S370" s="183"/>
      <c r="T370" s="184"/>
      <c r="U370" s="92"/>
    </row>
    <row r="371" s="94" customFormat="1" spans="1:22">
      <c r="A371" s="187"/>
      <c r="B371" s="188"/>
      <c r="C371" s="189"/>
      <c r="D371" s="189"/>
      <c r="E371" s="190"/>
      <c r="F371" s="190"/>
      <c r="G371" s="101"/>
      <c r="H371" s="190"/>
      <c r="I371" s="190"/>
      <c r="J371" s="190"/>
      <c r="K371" s="190"/>
      <c r="L371" s="115" t="s">
        <v>196</v>
      </c>
      <c r="M371" s="182">
        <v>12</v>
      </c>
      <c r="N371" s="182">
        <v>40</v>
      </c>
      <c r="O371" s="132"/>
      <c r="P371" s="132"/>
      <c r="Q371" s="94" t="s">
        <v>1479</v>
      </c>
      <c r="R371" s="190"/>
      <c r="S371" s="191"/>
      <c r="T371" s="92"/>
      <c r="U371" s="92"/>
      <c r="V371" s="192"/>
    </row>
    <row r="372" s="94" customFormat="1" spans="1:22">
      <c r="A372" s="187"/>
      <c r="B372" s="179" t="s">
        <v>1480</v>
      </c>
      <c r="C372" s="179" t="s">
        <v>1341</v>
      </c>
      <c r="D372" s="179" t="s">
        <v>1481</v>
      </c>
      <c r="E372" s="180">
        <v>1203201</v>
      </c>
      <c r="F372" s="180" t="s">
        <v>71</v>
      </c>
      <c r="G372" s="101" t="s">
        <v>1345</v>
      </c>
      <c r="H372" s="180" t="s">
        <v>1346</v>
      </c>
      <c r="I372" s="180" t="s">
        <v>1397</v>
      </c>
      <c r="J372" s="180">
        <v>8026</v>
      </c>
      <c r="K372" s="180" t="s">
        <v>1482</v>
      </c>
      <c r="L372" s="181" t="s">
        <v>87</v>
      </c>
      <c r="M372" s="182">
        <v>0</v>
      </c>
      <c r="N372" s="182">
        <v>4</v>
      </c>
      <c r="O372" s="137">
        <v>100</v>
      </c>
      <c r="P372" s="137" t="s">
        <v>1478</v>
      </c>
      <c r="R372" s="180" t="s">
        <v>71</v>
      </c>
      <c r="S372" s="191"/>
      <c r="T372" s="92"/>
      <c r="U372" s="92"/>
      <c r="V372" s="192"/>
    </row>
    <row r="373" s="94" customFormat="1" spans="1:22">
      <c r="A373" s="187"/>
      <c r="B373" s="185"/>
      <c r="C373" s="185"/>
      <c r="D373" s="185"/>
      <c r="E373" s="186"/>
      <c r="F373" s="186"/>
      <c r="G373" s="101"/>
      <c r="H373" s="186"/>
      <c r="I373" s="186"/>
      <c r="J373" s="186"/>
      <c r="K373" s="186"/>
      <c r="L373" s="181" t="s">
        <v>88</v>
      </c>
      <c r="M373" s="182">
        <v>4</v>
      </c>
      <c r="N373" s="182">
        <v>4</v>
      </c>
      <c r="O373" s="137"/>
      <c r="P373" s="137"/>
      <c r="Q373" s="94"/>
      <c r="R373" s="186"/>
      <c r="S373" s="191"/>
      <c r="T373" s="92"/>
      <c r="U373" s="92"/>
      <c r="V373" s="192"/>
    </row>
    <row r="374" s="94" customFormat="1" spans="1:22">
      <c r="A374" s="187"/>
      <c r="B374" s="193"/>
      <c r="C374" s="185"/>
      <c r="D374" s="185"/>
      <c r="E374" s="186"/>
      <c r="F374" s="186"/>
      <c r="G374" s="101"/>
      <c r="H374" s="186"/>
      <c r="I374" s="186"/>
      <c r="J374" s="186"/>
      <c r="K374" s="186"/>
      <c r="L374" s="129" t="s">
        <v>89</v>
      </c>
      <c r="M374" s="116">
        <v>8</v>
      </c>
      <c r="N374" s="117">
        <v>4</v>
      </c>
      <c r="O374" s="132"/>
      <c r="P374" s="132"/>
      <c r="R374" s="186"/>
      <c r="S374" s="191"/>
      <c r="T374" s="92"/>
      <c r="U374" s="92"/>
      <c r="V374" s="192"/>
    </row>
    <row r="375" s="94" customFormat="1" spans="1:22">
      <c r="A375" s="187"/>
      <c r="B375" s="188"/>
      <c r="C375" s="189"/>
      <c r="D375" s="189"/>
      <c r="E375" s="190"/>
      <c r="F375" s="190"/>
      <c r="G375" s="101"/>
      <c r="H375" s="190"/>
      <c r="I375" s="190"/>
      <c r="J375" s="190"/>
      <c r="K375" s="190"/>
      <c r="L375" s="115" t="s">
        <v>196</v>
      </c>
      <c r="M375" s="182">
        <v>12</v>
      </c>
      <c r="N375" s="182">
        <v>40</v>
      </c>
      <c r="O375" s="132"/>
      <c r="P375" s="132"/>
      <c r="Q375" s="94" t="s">
        <v>1483</v>
      </c>
      <c r="R375" s="190"/>
      <c r="S375" s="191"/>
      <c r="T375" s="92"/>
      <c r="U375" s="92"/>
      <c r="V375" s="192"/>
    </row>
    <row r="376" s="94" customFormat="1" spans="1:22">
      <c r="A376" s="187"/>
      <c r="B376" s="179" t="s">
        <v>1484</v>
      </c>
      <c r="C376" s="179" t="s">
        <v>1341</v>
      </c>
      <c r="D376" s="179" t="s">
        <v>1485</v>
      </c>
      <c r="E376" s="180">
        <v>1403201</v>
      </c>
      <c r="F376" s="180" t="s">
        <v>97</v>
      </c>
      <c r="G376" s="101" t="s">
        <v>1345</v>
      </c>
      <c r="H376" s="180" t="s">
        <v>1346</v>
      </c>
      <c r="I376" s="180" t="s">
        <v>1436</v>
      </c>
      <c r="J376" s="180">
        <v>8027</v>
      </c>
      <c r="K376" s="180" t="s">
        <v>1486</v>
      </c>
      <c r="L376" s="181" t="s">
        <v>87</v>
      </c>
      <c r="M376" s="182">
        <v>0</v>
      </c>
      <c r="N376" s="182">
        <v>4</v>
      </c>
      <c r="O376" s="137">
        <v>100</v>
      </c>
      <c r="P376" s="137" t="s">
        <v>1478</v>
      </c>
      <c r="R376" s="180" t="s">
        <v>97</v>
      </c>
      <c r="S376" s="191"/>
      <c r="T376" s="92"/>
      <c r="U376" s="92"/>
      <c r="V376" s="192"/>
    </row>
    <row r="377" s="94" customFormat="1" spans="1:22">
      <c r="A377" s="187"/>
      <c r="B377" s="185"/>
      <c r="C377" s="185"/>
      <c r="D377" s="185"/>
      <c r="E377" s="186"/>
      <c r="F377" s="186"/>
      <c r="G377" s="101"/>
      <c r="H377" s="186"/>
      <c r="I377" s="186"/>
      <c r="J377" s="186"/>
      <c r="K377" s="186"/>
      <c r="L377" s="181" t="s">
        <v>88</v>
      </c>
      <c r="M377" s="182">
        <v>4</v>
      </c>
      <c r="N377" s="182">
        <v>4</v>
      </c>
      <c r="O377" s="137"/>
      <c r="P377" s="137"/>
      <c r="Q377" s="94"/>
      <c r="R377" s="186"/>
      <c r="S377" s="191"/>
      <c r="T377" s="92"/>
      <c r="U377" s="92"/>
      <c r="V377" s="192"/>
    </row>
    <row r="378" s="94" customFormat="1" spans="1:22">
      <c r="A378" s="187"/>
      <c r="B378" s="185"/>
      <c r="C378" s="185"/>
      <c r="D378" s="185"/>
      <c r="E378" s="186"/>
      <c r="F378" s="186"/>
      <c r="G378" s="101"/>
      <c r="H378" s="186"/>
      <c r="I378" s="186"/>
      <c r="J378" s="186"/>
      <c r="K378" s="186"/>
      <c r="L378" s="129" t="s">
        <v>89</v>
      </c>
      <c r="M378" s="116">
        <v>8</v>
      </c>
      <c r="N378" s="117">
        <v>4</v>
      </c>
      <c r="O378" s="137"/>
      <c r="P378" s="137"/>
      <c r="R378" s="186"/>
      <c r="S378" s="191"/>
      <c r="T378" s="92"/>
      <c r="U378" s="92"/>
      <c r="V378" s="192"/>
    </row>
    <row r="379" s="94" customFormat="1" spans="1:22">
      <c r="A379" s="187"/>
      <c r="B379" s="188"/>
      <c r="C379" s="189"/>
      <c r="D379" s="189"/>
      <c r="E379" s="190"/>
      <c r="F379" s="190"/>
      <c r="G379" s="101"/>
      <c r="H379" s="190"/>
      <c r="I379" s="190"/>
      <c r="J379" s="190"/>
      <c r="K379" s="190"/>
      <c r="L379" s="115" t="s">
        <v>196</v>
      </c>
      <c r="M379" s="182">
        <v>12</v>
      </c>
      <c r="N379" s="182">
        <v>40</v>
      </c>
      <c r="O379" s="132"/>
      <c r="P379" s="132"/>
      <c r="Q379" s="94" t="s">
        <v>1487</v>
      </c>
      <c r="R379" s="190"/>
      <c r="S379" s="191"/>
      <c r="T379" s="92"/>
      <c r="U379" s="92"/>
      <c r="V379" s="192"/>
    </row>
    <row r="380" s="1" customFormat="1" ht="25" customHeight="1" spans="1:22">
      <c r="A380" s="194"/>
      <c r="B380" s="195" t="s">
        <v>1488</v>
      </c>
      <c r="C380" s="195" t="s">
        <v>1354</v>
      </c>
      <c r="D380" s="195" t="s">
        <v>1477</v>
      </c>
      <c r="E380" s="196">
        <v>1303201</v>
      </c>
      <c r="F380" s="196" t="s">
        <v>19</v>
      </c>
      <c r="G380" s="119" t="s">
        <v>1345</v>
      </c>
      <c r="H380" s="196" t="s">
        <v>1355</v>
      </c>
      <c r="I380" s="196" t="s">
        <v>1398</v>
      </c>
      <c r="J380" s="196">
        <v>8039</v>
      </c>
      <c r="K380" s="196" t="s">
        <v>1403</v>
      </c>
      <c r="L380" s="154" t="s">
        <v>87</v>
      </c>
      <c r="M380" s="161">
        <v>0</v>
      </c>
      <c r="N380" s="161">
        <v>4</v>
      </c>
      <c r="O380" s="197">
        <v>100</v>
      </c>
      <c r="P380" s="197" t="s">
        <v>1478</v>
      </c>
      <c r="Q380" s="120"/>
      <c r="R380" s="196" t="s">
        <v>19</v>
      </c>
      <c r="S380" s="183"/>
      <c r="T380" s="184"/>
      <c r="U380" s="92"/>
    </row>
    <row r="381" s="1" customFormat="1" ht="25" customHeight="1" spans="1:22">
      <c r="A381" s="194"/>
      <c r="B381" s="198"/>
      <c r="C381" s="198"/>
      <c r="D381" s="198"/>
      <c r="E381" s="199"/>
      <c r="F381" s="199"/>
      <c r="G381" s="119"/>
      <c r="H381" s="199"/>
      <c r="I381" s="199"/>
      <c r="J381" s="199"/>
      <c r="K381" s="199"/>
      <c r="L381" s="154" t="s">
        <v>88</v>
      </c>
      <c r="M381" s="161">
        <v>4</v>
      </c>
      <c r="N381" s="161">
        <v>4</v>
      </c>
      <c r="O381" s="197"/>
      <c r="P381" s="197"/>
      <c r="Q381" s="120"/>
      <c r="R381" s="199"/>
      <c r="S381" s="183"/>
      <c r="T381" s="184"/>
      <c r="U381" s="92"/>
    </row>
    <row r="382" s="1" customFormat="1" ht="25" customHeight="1" spans="1:22">
      <c r="A382" s="194"/>
      <c r="B382" s="198"/>
      <c r="C382" s="198"/>
      <c r="D382" s="198"/>
      <c r="E382" s="199"/>
      <c r="F382" s="199"/>
      <c r="G382" s="119"/>
      <c r="H382" s="199"/>
      <c r="I382" s="199"/>
      <c r="J382" s="199"/>
      <c r="K382" s="199"/>
      <c r="L382" s="200" t="s">
        <v>89</v>
      </c>
      <c r="M382" s="122">
        <v>8</v>
      </c>
      <c r="N382" s="123">
        <v>4</v>
      </c>
      <c r="O382" s="197"/>
      <c r="P382" s="197"/>
      <c r="Q382" s="120"/>
      <c r="R382" s="199"/>
      <c r="S382" s="183"/>
      <c r="T382" s="184"/>
      <c r="U382" s="92"/>
    </row>
    <row r="383" s="94" customFormat="1" spans="1:22">
      <c r="A383" s="120"/>
      <c r="B383" s="201"/>
      <c r="C383" s="202"/>
      <c r="D383" s="202"/>
      <c r="E383" s="203"/>
      <c r="F383" s="203"/>
      <c r="G383" s="119"/>
      <c r="H383" s="203"/>
      <c r="I383" s="203"/>
      <c r="J383" s="203"/>
      <c r="K383" s="203"/>
      <c r="L383" s="121" t="s">
        <v>196</v>
      </c>
      <c r="M383" s="161">
        <v>12</v>
      </c>
      <c r="N383" s="161">
        <v>40</v>
      </c>
      <c r="O383" s="157"/>
      <c r="P383" s="157"/>
      <c r="Q383" s="120" t="s">
        <v>1479</v>
      </c>
      <c r="R383" s="203"/>
      <c r="S383" s="191"/>
      <c r="T383" s="92"/>
      <c r="U383" s="92"/>
      <c r="V383" s="192"/>
    </row>
    <row r="384" s="94" customFormat="1" spans="1:22">
      <c r="A384" s="120"/>
      <c r="B384" s="195" t="s">
        <v>1489</v>
      </c>
      <c r="C384" s="195" t="s">
        <v>1354</v>
      </c>
      <c r="D384" s="195" t="s">
        <v>1481</v>
      </c>
      <c r="E384" s="196">
        <v>1203201</v>
      </c>
      <c r="F384" s="196" t="s">
        <v>71</v>
      </c>
      <c r="G384" s="119" t="s">
        <v>1345</v>
      </c>
      <c r="H384" s="196" t="s">
        <v>1355</v>
      </c>
      <c r="I384" s="196" t="s">
        <v>1397</v>
      </c>
      <c r="J384" s="196">
        <v>8040</v>
      </c>
      <c r="K384" s="196" t="s">
        <v>1482</v>
      </c>
      <c r="L384" s="154" t="s">
        <v>87</v>
      </c>
      <c r="M384" s="161">
        <v>0</v>
      </c>
      <c r="N384" s="161">
        <v>4</v>
      </c>
      <c r="O384" s="197">
        <v>100</v>
      </c>
      <c r="P384" s="197" t="s">
        <v>1478</v>
      </c>
      <c r="Q384" s="120"/>
      <c r="R384" s="196" t="s">
        <v>71</v>
      </c>
      <c r="S384" s="191"/>
      <c r="T384" s="92"/>
      <c r="U384" s="92"/>
      <c r="V384" s="192"/>
    </row>
    <row r="385" s="94" customFormat="1" spans="1:22">
      <c r="A385" s="120"/>
      <c r="B385" s="198"/>
      <c r="C385" s="198"/>
      <c r="D385" s="198"/>
      <c r="E385" s="199"/>
      <c r="F385" s="199"/>
      <c r="G385" s="119"/>
      <c r="H385" s="199"/>
      <c r="I385" s="199"/>
      <c r="J385" s="199"/>
      <c r="K385" s="199"/>
      <c r="L385" s="154" t="s">
        <v>88</v>
      </c>
      <c r="M385" s="161">
        <v>4</v>
      </c>
      <c r="N385" s="161">
        <v>4</v>
      </c>
      <c r="O385" s="197"/>
      <c r="P385" s="197"/>
      <c r="Q385" s="120"/>
      <c r="R385" s="199"/>
      <c r="S385" s="191"/>
      <c r="T385" s="92"/>
      <c r="U385" s="92"/>
      <c r="V385" s="192"/>
    </row>
    <row r="386" s="94" customFormat="1" spans="1:22">
      <c r="A386" s="120"/>
      <c r="B386" s="204"/>
      <c r="C386" s="198"/>
      <c r="D386" s="198"/>
      <c r="E386" s="199"/>
      <c r="F386" s="199"/>
      <c r="G386" s="119"/>
      <c r="H386" s="199"/>
      <c r="I386" s="199"/>
      <c r="J386" s="199"/>
      <c r="K386" s="199"/>
      <c r="L386" s="200" t="s">
        <v>89</v>
      </c>
      <c r="M386" s="122">
        <v>8</v>
      </c>
      <c r="N386" s="123">
        <v>4</v>
      </c>
      <c r="O386" s="157"/>
      <c r="P386" s="157"/>
      <c r="Q386" s="120"/>
      <c r="R386" s="199"/>
      <c r="S386" s="191"/>
      <c r="T386" s="92"/>
      <c r="U386" s="92"/>
      <c r="V386" s="192"/>
    </row>
    <row r="387" s="94" customFormat="1" spans="1:22">
      <c r="A387" s="120"/>
      <c r="B387" s="201"/>
      <c r="C387" s="202"/>
      <c r="D387" s="202"/>
      <c r="E387" s="203"/>
      <c r="F387" s="203"/>
      <c r="G387" s="119"/>
      <c r="H387" s="203"/>
      <c r="I387" s="203"/>
      <c r="J387" s="203"/>
      <c r="K387" s="203"/>
      <c r="L387" s="121" t="s">
        <v>196</v>
      </c>
      <c r="M387" s="161">
        <v>12</v>
      </c>
      <c r="N387" s="161">
        <v>40</v>
      </c>
      <c r="O387" s="157"/>
      <c r="P387" s="157"/>
      <c r="Q387" s="120" t="s">
        <v>1483</v>
      </c>
      <c r="R387" s="203"/>
      <c r="S387" s="191"/>
      <c r="T387" s="92"/>
      <c r="U387" s="92"/>
      <c r="V387" s="192"/>
    </row>
    <row r="388" s="94" customFormat="1" spans="1:22">
      <c r="A388" s="120"/>
      <c r="B388" s="195" t="s">
        <v>1490</v>
      </c>
      <c r="C388" s="195" t="s">
        <v>1354</v>
      </c>
      <c r="D388" s="195" t="s">
        <v>1485</v>
      </c>
      <c r="E388" s="196">
        <v>1403201</v>
      </c>
      <c r="F388" s="196" t="s">
        <v>97</v>
      </c>
      <c r="G388" s="119" t="s">
        <v>1345</v>
      </c>
      <c r="H388" s="196" t="s">
        <v>1355</v>
      </c>
      <c r="I388" s="196" t="s">
        <v>1436</v>
      </c>
      <c r="J388" s="196">
        <v>8041</v>
      </c>
      <c r="K388" s="196" t="s">
        <v>1486</v>
      </c>
      <c r="L388" s="154" t="s">
        <v>87</v>
      </c>
      <c r="M388" s="161">
        <v>0</v>
      </c>
      <c r="N388" s="161">
        <v>4</v>
      </c>
      <c r="O388" s="197">
        <v>100</v>
      </c>
      <c r="P388" s="197" t="s">
        <v>1478</v>
      </c>
      <c r="Q388" s="120"/>
      <c r="R388" s="196" t="s">
        <v>97</v>
      </c>
      <c r="S388" s="191"/>
      <c r="T388" s="92"/>
      <c r="U388" s="92"/>
      <c r="V388" s="192"/>
    </row>
    <row r="389" s="94" customFormat="1" spans="1:22">
      <c r="A389" s="120"/>
      <c r="B389" s="198"/>
      <c r="C389" s="198"/>
      <c r="D389" s="198"/>
      <c r="E389" s="199"/>
      <c r="F389" s="199"/>
      <c r="G389" s="119"/>
      <c r="H389" s="199"/>
      <c r="I389" s="199"/>
      <c r="J389" s="199"/>
      <c r="K389" s="199"/>
      <c r="L389" s="154" t="s">
        <v>88</v>
      </c>
      <c r="M389" s="161">
        <v>4</v>
      </c>
      <c r="N389" s="161">
        <v>4</v>
      </c>
      <c r="O389" s="197"/>
      <c r="P389" s="197"/>
      <c r="Q389" s="120"/>
      <c r="R389" s="199"/>
      <c r="S389" s="191"/>
      <c r="T389" s="92"/>
      <c r="U389" s="92"/>
      <c r="V389" s="192"/>
    </row>
    <row r="390" s="94" customFormat="1" spans="1:22">
      <c r="A390" s="120"/>
      <c r="B390" s="198"/>
      <c r="C390" s="198"/>
      <c r="D390" s="198"/>
      <c r="E390" s="199"/>
      <c r="F390" s="199"/>
      <c r="G390" s="119"/>
      <c r="H390" s="199"/>
      <c r="I390" s="199"/>
      <c r="J390" s="199"/>
      <c r="K390" s="199"/>
      <c r="L390" s="200" t="s">
        <v>89</v>
      </c>
      <c r="M390" s="122">
        <v>8</v>
      </c>
      <c r="N390" s="123">
        <v>4</v>
      </c>
      <c r="O390" s="197"/>
      <c r="P390" s="197"/>
      <c r="Q390" s="120"/>
      <c r="R390" s="199"/>
      <c r="S390" s="191"/>
      <c r="T390" s="92"/>
      <c r="U390" s="92"/>
      <c r="V390" s="192"/>
    </row>
    <row r="391" s="94" customFormat="1" spans="1:22">
      <c r="A391" s="120"/>
      <c r="B391" s="201"/>
      <c r="C391" s="202"/>
      <c r="D391" s="202"/>
      <c r="E391" s="203"/>
      <c r="F391" s="203"/>
      <c r="G391" s="119"/>
      <c r="H391" s="203"/>
      <c r="I391" s="203"/>
      <c r="J391" s="203"/>
      <c r="K391" s="203"/>
      <c r="L391" s="121" t="s">
        <v>196</v>
      </c>
      <c r="M391" s="161">
        <v>12</v>
      </c>
      <c r="N391" s="161">
        <v>40</v>
      </c>
      <c r="O391" s="157"/>
      <c r="P391" s="157"/>
      <c r="Q391" s="120" t="s">
        <v>1487</v>
      </c>
      <c r="R391" s="203"/>
      <c r="S391" s="191"/>
      <c r="T391" s="92"/>
      <c r="U391" s="92"/>
      <c r="V391" s="192"/>
    </row>
    <row r="392" spans="1:22">
      <c r="A392" s="131" t="s">
        <v>1412</v>
      </c>
      <c r="B392" s="131" t="s">
        <v>1491</v>
      </c>
      <c r="C392" s="131" t="s">
        <v>1414</v>
      </c>
      <c r="D392" s="132"/>
      <c r="E392" s="131" t="s">
        <v>1449</v>
      </c>
      <c r="F392" s="131" t="s">
        <v>1450</v>
      </c>
      <c r="G392" s="131" t="s">
        <v>1345</v>
      </c>
      <c r="H392" s="131" t="s">
        <v>1417</v>
      </c>
      <c r="I392" s="131" t="s">
        <v>1492</v>
      </c>
      <c r="J392" s="131">
        <v>8032</v>
      </c>
      <c r="K392" s="131" t="s">
        <v>1493</v>
      </c>
      <c r="L392" s="162" t="s">
        <v>87</v>
      </c>
      <c r="M392" s="163">
        <v>0</v>
      </c>
      <c r="N392" s="163">
        <v>4</v>
      </c>
      <c r="O392" s="131">
        <v>10</v>
      </c>
      <c r="P392" s="136" t="s">
        <v>1494</v>
      </c>
      <c r="Q392" s="132"/>
      <c r="R392" s="131" t="s">
        <v>1450</v>
      </c>
    </row>
    <row r="393" spans="1:22">
      <c r="A393" s="135"/>
      <c r="B393" s="135"/>
      <c r="C393" s="135"/>
      <c r="D393" s="132"/>
      <c r="E393" s="135"/>
      <c r="F393" s="135"/>
      <c r="G393" s="135"/>
      <c r="H393" s="135"/>
      <c r="I393" s="135"/>
      <c r="J393" s="135"/>
      <c r="K393" s="135"/>
      <c r="L393" s="162" t="s">
        <v>88</v>
      </c>
      <c r="M393" s="163">
        <v>4</v>
      </c>
      <c r="N393" s="163">
        <v>4</v>
      </c>
      <c r="O393" s="135"/>
      <c r="P393" s="138"/>
      <c r="Q393" s="132"/>
      <c r="R393" s="135"/>
    </row>
    <row r="394" ht="28.8" spans="1:22">
      <c r="A394" s="135"/>
      <c r="B394" s="135"/>
      <c r="C394" s="135"/>
      <c r="D394" s="132" t="s">
        <v>1453</v>
      </c>
      <c r="E394" s="135"/>
      <c r="F394" s="135"/>
      <c r="G394" s="135"/>
      <c r="H394" s="135"/>
      <c r="I394" s="135"/>
      <c r="J394" s="135"/>
      <c r="K394" s="135"/>
      <c r="L394" s="164" t="s">
        <v>46</v>
      </c>
      <c r="M394" s="163">
        <v>8</v>
      </c>
      <c r="N394" s="163">
        <v>4</v>
      </c>
      <c r="O394" s="135"/>
      <c r="P394" s="138"/>
      <c r="Q394" s="171" t="s">
        <v>1495</v>
      </c>
      <c r="R394" s="135"/>
    </row>
    <row r="395" ht="28.8" spans="1:22">
      <c r="A395" s="135"/>
      <c r="B395" s="135"/>
      <c r="C395" s="135"/>
      <c r="D395" s="132" t="s">
        <v>1453</v>
      </c>
      <c r="E395" s="135"/>
      <c r="F395" s="135"/>
      <c r="G395" s="135"/>
      <c r="H395" s="135"/>
      <c r="I395" s="135"/>
      <c r="J395" s="135"/>
      <c r="K395" s="135"/>
      <c r="L395" s="164" t="s">
        <v>1496</v>
      </c>
      <c r="M395" s="163">
        <f>M394+N394</f>
        <v>12</v>
      </c>
      <c r="N395" s="163">
        <v>4</v>
      </c>
      <c r="O395" s="135"/>
      <c r="P395" s="138"/>
      <c r="Q395" s="171" t="s">
        <v>1497</v>
      </c>
      <c r="R395" s="135"/>
    </row>
    <row r="396" ht="28.8" spans="1:22">
      <c r="A396" s="135"/>
      <c r="B396" s="135"/>
      <c r="C396" s="135"/>
      <c r="D396" s="132" t="s">
        <v>1453</v>
      </c>
      <c r="E396" s="135"/>
      <c r="F396" s="135"/>
      <c r="G396" s="135"/>
      <c r="H396" s="135"/>
      <c r="I396" s="135"/>
      <c r="J396" s="135"/>
      <c r="K396" s="135"/>
      <c r="L396" s="164" t="s">
        <v>1498</v>
      </c>
      <c r="M396" s="163">
        <f t="shared" ref="M396:M407" si="11">M395+N395</f>
        <v>16</v>
      </c>
      <c r="N396" s="163">
        <v>4</v>
      </c>
      <c r="O396" s="135"/>
      <c r="P396" s="138"/>
      <c r="Q396" s="171" t="s">
        <v>1495</v>
      </c>
      <c r="R396" s="135"/>
    </row>
    <row r="397" ht="28.8" spans="1:22">
      <c r="A397" s="135"/>
      <c r="B397" s="135"/>
      <c r="C397" s="135"/>
      <c r="D397" s="132" t="s">
        <v>1453</v>
      </c>
      <c r="E397" s="135"/>
      <c r="F397" s="135"/>
      <c r="G397" s="135"/>
      <c r="H397" s="135"/>
      <c r="I397" s="135"/>
      <c r="J397" s="135"/>
      <c r="K397" s="135"/>
      <c r="L397" s="164" t="s">
        <v>1499</v>
      </c>
      <c r="M397" s="163">
        <f t="shared" si="11"/>
        <v>20</v>
      </c>
      <c r="N397" s="163">
        <v>4</v>
      </c>
      <c r="O397" s="135"/>
      <c r="P397" s="138"/>
      <c r="Q397" s="171" t="s">
        <v>1497</v>
      </c>
      <c r="R397" s="135"/>
    </row>
    <row r="398" spans="1:22">
      <c r="A398" s="135"/>
      <c r="B398" s="135"/>
      <c r="C398" s="135"/>
      <c r="D398" s="165"/>
      <c r="E398" s="135"/>
      <c r="F398" s="135"/>
      <c r="G398" s="135"/>
      <c r="H398" s="135"/>
      <c r="I398" s="135"/>
      <c r="J398" s="135"/>
      <c r="K398" s="135"/>
      <c r="L398" s="181" t="s">
        <v>88</v>
      </c>
      <c r="M398" s="163">
        <f t="shared" si="11"/>
        <v>24</v>
      </c>
      <c r="N398" s="163">
        <v>4</v>
      </c>
      <c r="O398" s="135"/>
      <c r="P398" s="138"/>
      <c r="Q398" s="171"/>
      <c r="R398" s="135"/>
    </row>
    <row r="399" ht="28.8" spans="1:22">
      <c r="A399" s="135"/>
      <c r="B399" s="135"/>
      <c r="C399" s="135"/>
      <c r="D399" s="132" t="s">
        <v>1453</v>
      </c>
      <c r="E399" s="135"/>
      <c r="F399" s="135"/>
      <c r="G399" s="135"/>
      <c r="H399" s="135"/>
      <c r="I399" s="135"/>
      <c r="J399" s="135"/>
      <c r="K399" s="135"/>
      <c r="L399" s="164" t="s">
        <v>1500</v>
      </c>
      <c r="M399" s="163">
        <f t="shared" si="11"/>
        <v>28</v>
      </c>
      <c r="N399" s="163">
        <v>4</v>
      </c>
      <c r="O399" s="135"/>
      <c r="P399" s="138"/>
      <c r="Q399" s="171" t="s">
        <v>1495</v>
      </c>
      <c r="R399" s="135"/>
    </row>
    <row r="400" ht="28.8" spans="1:22">
      <c r="A400" s="135"/>
      <c r="B400" s="135"/>
      <c r="C400" s="135"/>
      <c r="D400" s="132" t="s">
        <v>1453</v>
      </c>
      <c r="E400" s="135"/>
      <c r="F400" s="135"/>
      <c r="G400" s="135"/>
      <c r="H400" s="135"/>
      <c r="I400" s="135"/>
      <c r="J400" s="135"/>
      <c r="K400" s="135"/>
      <c r="L400" s="164" t="s">
        <v>1501</v>
      </c>
      <c r="M400" s="163">
        <f t="shared" si="11"/>
        <v>32</v>
      </c>
      <c r="N400" s="163">
        <v>4</v>
      </c>
      <c r="O400" s="135"/>
      <c r="P400" s="138"/>
      <c r="Q400" s="171" t="s">
        <v>1497</v>
      </c>
      <c r="R400" s="135"/>
    </row>
    <row r="401" ht="28.8" spans="1:18">
      <c r="A401" s="135"/>
      <c r="B401" s="135"/>
      <c r="C401" s="135"/>
      <c r="D401" s="132" t="s">
        <v>1453</v>
      </c>
      <c r="E401" s="135"/>
      <c r="F401" s="135"/>
      <c r="G401" s="135"/>
      <c r="H401" s="135"/>
      <c r="I401" s="135"/>
      <c r="J401" s="135"/>
      <c r="K401" s="135"/>
      <c r="L401" s="164" t="s">
        <v>1267</v>
      </c>
      <c r="M401" s="163">
        <f t="shared" si="11"/>
        <v>36</v>
      </c>
      <c r="N401" s="163">
        <v>4</v>
      </c>
      <c r="O401" s="135"/>
      <c r="P401" s="138"/>
      <c r="Q401" s="171" t="s">
        <v>1495</v>
      </c>
      <c r="R401" s="135"/>
    </row>
    <row r="402" ht="28.8" spans="1:18">
      <c r="A402" s="135"/>
      <c r="B402" s="135"/>
      <c r="C402" s="135"/>
      <c r="D402" s="132" t="s">
        <v>1453</v>
      </c>
      <c r="E402" s="135"/>
      <c r="F402" s="135"/>
      <c r="G402" s="135"/>
      <c r="H402" s="135"/>
      <c r="I402" s="135"/>
      <c r="J402" s="135"/>
      <c r="K402" s="135"/>
      <c r="L402" s="164" t="s">
        <v>1502</v>
      </c>
      <c r="M402" s="163">
        <f t="shared" si="11"/>
        <v>40</v>
      </c>
      <c r="N402" s="163">
        <v>4</v>
      </c>
      <c r="O402" s="135"/>
      <c r="P402" s="138"/>
      <c r="Q402" s="171" t="s">
        <v>1497</v>
      </c>
      <c r="R402" s="135"/>
    </row>
    <row r="403" spans="1:18">
      <c r="A403" s="135"/>
      <c r="B403" s="135"/>
      <c r="C403" s="135"/>
      <c r="D403" s="165"/>
      <c r="E403" s="135"/>
      <c r="F403" s="135"/>
      <c r="G403" s="135"/>
      <c r="H403" s="135"/>
      <c r="I403" s="135"/>
      <c r="J403" s="135"/>
      <c r="K403" s="135"/>
      <c r="L403" s="162" t="s">
        <v>88</v>
      </c>
      <c r="M403" s="163">
        <f t="shared" si="11"/>
        <v>44</v>
      </c>
      <c r="N403" s="163">
        <v>4</v>
      </c>
      <c r="O403" s="135"/>
      <c r="P403" s="138"/>
      <c r="Q403" s="132"/>
      <c r="R403" s="135"/>
    </row>
    <row r="404" ht="28.8" spans="1:18">
      <c r="A404" s="135"/>
      <c r="B404" s="135"/>
      <c r="C404" s="135"/>
      <c r="D404" s="132" t="s">
        <v>1453</v>
      </c>
      <c r="E404" s="135"/>
      <c r="F404" s="135"/>
      <c r="G404" s="135"/>
      <c r="H404" s="135"/>
      <c r="I404" s="135"/>
      <c r="J404" s="135"/>
      <c r="K404" s="135"/>
      <c r="L404" s="205" t="s">
        <v>1503</v>
      </c>
      <c r="M404" s="163">
        <f t="shared" si="11"/>
        <v>48</v>
      </c>
      <c r="N404" s="163">
        <v>4</v>
      </c>
      <c r="O404" s="135"/>
      <c r="P404" s="138"/>
      <c r="Q404" s="171" t="s">
        <v>1495</v>
      </c>
      <c r="R404" s="135"/>
    </row>
    <row r="405" ht="28.8" spans="1:18">
      <c r="A405" s="135"/>
      <c r="B405" s="135"/>
      <c r="C405" s="135"/>
      <c r="D405" s="132" t="s">
        <v>1453</v>
      </c>
      <c r="E405" s="135"/>
      <c r="F405" s="135"/>
      <c r="G405" s="135"/>
      <c r="H405" s="135"/>
      <c r="I405" s="135"/>
      <c r="J405" s="135"/>
      <c r="K405" s="135"/>
      <c r="L405" s="205" t="s">
        <v>1504</v>
      </c>
      <c r="M405" s="163">
        <f t="shared" si="11"/>
        <v>52</v>
      </c>
      <c r="N405" s="163">
        <v>4</v>
      </c>
      <c r="O405" s="135"/>
      <c r="P405" s="138"/>
      <c r="Q405" s="171" t="s">
        <v>1497</v>
      </c>
      <c r="R405" s="135"/>
    </row>
    <row r="406" spans="1:18">
      <c r="A406" s="131" t="s">
        <v>1412</v>
      </c>
      <c r="B406" s="131" t="s">
        <v>1505</v>
      </c>
      <c r="C406" s="131" t="s">
        <v>1424</v>
      </c>
      <c r="D406" s="132"/>
      <c r="E406" s="131" t="s">
        <v>1449</v>
      </c>
      <c r="F406" s="131" t="s">
        <v>1450</v>
      </c>
      <c r="G406" s="131" t="s">
        <v>1345</v>
      </c>
      <c r="H406" s="131" t="s">
        <v>1425</v>
      </c>
      <c r="I406" s="131" t="s">
        <v>1492</v>
      </c>
      <c r="J406" s="131">
        <v>8033</v>
      </c>
      <c r="K406" s="131" t="s">
        <v>1493</v>
      </c>
      <c r="L406" s="162" t="s">
        <v>87</v>
      </c>
      <c r="M406" s="163">
        <v>0</v>
      </c>
      <c r="N406" s="163">
        <v>4</v>
      </c>
      <c r="O406" s="131">
        <v>10</v>
      </c>
      <c r="P406" s="136" t="s">
        <v>1494</v>
      </c>
      <c r="Q406" s="132"/>
      <c r="R406" s="131" t="s">
        <v>1450</v>
      </c>
    </row>
    <row r="407" spans="1:18">
      <c r="A407" s="135"/>
      <c r="B407" s="135"/>
      <c r="C407" s="135"/>
      <c r="D407" s="132"/>
      <c r="E407" s="135"/>
      <c r="F407" s="135"/>
      <c r="G407" s="135"/>
      <c r="H407" s="135"/>
      <c r="I407" s="135"/>
      <c r="J407" s="135"/>
      <c r="K407" s="135"/>
      <c r="L407" s="162" t="s">
        <v>88</v>
      </c>
      <c r="M407" s="163">
        <v>4</v>
      </c>
      <c r="N407" s="163">
        <v>4</v>
      </c>
      <c r="O407" s="135"/>
      <c r="P407" s="138"/>
      <c r="Q407" s="132"/>
      <c r="R407" s="135"/>
    </row>
    <row r="408" ht="28.8" spans="1:18">
      <c r="A408" s="135"/>
      <c r="B408" s="135"/>
      <c r="C408" s="135"/>
      <c r="D408" s="132" t="s">
        <v>1453</v>
      </c>
      <c r="E408" s="135"/>
      <c r="F408" s="135"/>
      <c r="G408" s="135"/>
      <c r="H408" s="135"/>
      <c r="I408" s="135"/>
      <c r="J408" s="135"/>
      <c r="K408" s="135"/>
      <c r="L408" s="164" t="s">
        <v>47</v>
      </c>
      <c r="M408" s="163">
        <v>8</v>
      </c>
      <c r="N408" s="163">
        <v>4</v>
      </c>
      <c r="O408" s="135"/>
      <c r="P408" s="138"/>
      <c r="Q408" s="171" t="s">
        <v>1495</v>
      </c>
      <c r="R408" s="135"/>
    </row>
    <row r="409" ht="28.8" spans="1:18">
      <c r="A409" s="135"/>
      <c r="B409" s="135"/>
      <c r="C409" s="135"/>
      <c r="D409" s="132" t="s">
        <v>1453</v>
      </c>
      <c r="E409" s="135"/>
      <c r="F409" s="135"/>
      <c r="G409" s="135"/>
      <c r="H409" s="135"/>
      <c r="I409" s="135"/>
      <c r="J409" s="135"/>
      <c r="K409" s="135"/>
      <c r="L409" s="164" t="s">
        <v>1506</v>
      </c>
      <c r="M409" s="163">
        <f t="shared" ref="M409:M421" si="12">M408+N408</f>
        <v>12</v>
      </c>
      <c r="N409" s="163">
        <v>4</v>
      </c>
      <c r="O409" s="135"/>
      <c r="P409" s="138"/>
      <c r="Q409" s="171" t="s">
        <v>1497</v>
      </c>
      <c r="R409" s="135"/>
    </row>
    <row r="410" ht="28.8" spans="1:18">
      <c r="A410" s="135"/>
      <c r="B410" s="135"/>
      <c r="C410" s="135"/>
      <c r="D410" s="132" t="s">
        <v>1453</v>
      </c>
      <c r="E410" s="135"/>
      <c r="F410" s="135"/>
      <c r="G410" s="135"/>
      <c r="H410" s="135"/>
      <c r="I410" s="135"/>
      <c r="J410" s="135"/>
      <c r="K410" s="135"/>
      <c r="L410" s="164" t="s">
        <v>1507</v>
      </c>
      <c r="M410" s="163">
        <f t="shared" si="12"/>
        <v>16</v>
      </c>
      <c r="N410" s="163">
        <v>4</v>
      </c>
      <c r="O410" s="135"/>
      <c r="P410" s="138"/>
      <c r="Q410" s="171" t="s">
        <v>1495</v>
      </c>
      <c r="R410" s="135"/>
    </row>
    <row r="411" ht="28.8" spans="1:18">
      <c r="A411" s="135"/>
      <c r="B411" s="135"/>
      <c r="C411" s="135"/>
      <c r="D411" s="132" t="s">
        <v>1453</v>
      </c>
      <c r="E411" s="135"/>
      <c r="F411" s="135"/>
      <c r="G411" s="135"/>
      <c r="H411" s="135"/>
      <c r="I411" s="135"/>
      <c r="J411" s="135"/>
      <c r="K411" s="135"/>
      <c r="L411" s="164" t="s">
        <v>1508</v>
      </c>
      <c r="M411" s="163">
        <f t="shared" si="12"/>
        <v>20</v>
      </c>
      <c r="N411" s="163">
        <v>4</v>
      </c>
      <c r="O411" s="135"/>
      <c r="P411" s="138"/>
      <c r="Q411" s="171" t="s">
        <v>1497</v>
      </c>
      <c r="R411" s="135"/>
    </row>
    <row r="412" spans="1:18">
      <c r="A412" s="135"/>
      <c r="B412" s="135"/>
      <c r="C412" s="135"/>
      <c r="D412" s="165"/>
      <c r="E412" s="135"/>
      <c r="F412" s="135"/>
      <c r="G412" s="135"/>
      <c r="H412" s="135"/>
      <c r="I412" s="135"/>
      <c r="J412" s="135"/>
      <c r="K412" s="135"/>
      <c r="L412" s="181" t="s">
        <v>88</v>
      </c>
      <c r="M412" s="163">
        <f t="shared" si="12"/>
        <v>24</v>
      </c>
      <c r="N412" s="163">
        <v>4</v>
      </c>
      <c r="O412" s="135"/>
      <c r="P412" s="138"/>
      <c r="Q412" s="171"/>
      <c r="R412" s="135"/>
    </row>
    <row r="413" ht="28.8" spans="1:18">
      <c r="A413" s="135"/>
      <c r="B413" s="135"/>
      <c r="C413" s="135"/>
      <c r="D413" s="132" t="s">
        <v>1453</v>
      </c>
      <c r="E413" s="135"/>
      <c r="F413" s="135"/>
      <c r="G413" s="135"/>
      <c r="H413" s="135"/>
      <c r="I413" s="135"/>
      <c r="J413" s="135"/>
      <c r="K413" s="135"/>
      <c r="L413" s="164" t="s">
        <v>1270</v>
      </c>
      <c r="M413" s="163">
        <f t="shared" si="12"/>
        <v>28</v>
      </c>
      <c r="N413" s="163">
        <v>4</v>
      </c>
      <c r="O413" s="135"/>
      <c r="P413" s="138"/>
      <c r="Q413" s="171" t="s">
        <v>1495</v>
      </c>
      <c r="R413" s="135"/>
    </row>
    <row r="414" ht="28.8" spans="1:18">
      <c r="A414" s="135"/>
      <c r="B414" s="135"/>
      <c r="C414" s="135"/>
      <c r="D414" s="132" t="s">
        <v>1453</v>
      </c>
      <c r="E414" s="135"/>
      <c r="F414" s="135"/>
      <c r="G414" s="135"/>
      <c r="H414" s="135"/>
      <c r="I414" s="135"/>
      <c r="J414" s="135"/>
      <c r="K414" s="135"/>
      <c r="L414" s="164" t="s">
        <v>1509</v>
      </c>
      <c r="M414" s="163">
        <f t="shared" si="12"/>
        <v>32</v>
      </c>
      <c r="N414" s="163">
        <v>4</v>
      </c>
      <c r="O414" s="135"/>
      <c r="P414" s="138"/>
      <c r="Q414" s="171" t="s">
        <v>1497</v>
      </c>
      <c r="R414" s="135"/>
    </row>
    <row r="415" ht="28.8" spans="1:18">
      <c r="A415" s="135"/>
      <c r="B415" s="135"/>
      <c r="C415" s="135"/>
      <c r="D415" s="132" t="s">
        <v>1453</v>
      </c>
      <c r="E415" s="135"/>
      <c r="F415" s="135"/>
      <c r="G415" s="135"/>
      <c r="H415" s="135"/>
      <c r="I415" s="135"/>
      <c r="J415" s="135"/>
      <c r="K415" s="135"/>
      <c r="L415" s="164" t="s">
        <v>1268</v>
      </c>
      <c r="M415" s="163">
        <f t="shared" si="12"/>
        <v>36</v>
      </c>
      <c r="N415" s="163">
        <v>4</v>
      </c>
      <c r="O415" s="135"/>
      <c r="P415" s="138"/>
      <c r="Q415" s="171" t="s">
        <v>1495</v>
      </c>
      <c r="R415" s="135"/>
    </row>
    <row r="416" ht="28.8" spans="1:18">
      <c r="A416" s="135"/>
      <c r="B416" s="135"/>
      <c r="C416" s="135"/>
      <c r="D416" s="132" t="s">
        <v>1453</v>
      </c>
      <c r="E416" s="135"/>
      <c r="F416" s="135"/>
      <c r="G416" s="135"/>
      <c r="H416" s="135"/>
      <c r="I416" s="135"/>
      <c r="J416" s="135"/>
      <c r="K416" s="135"/>
      <c r="L416" s="164" t="s">
        <v>1510</v>
      </c>
      <c r="M416" s="163">
        <f t="shared" si="12"/>
        <v>40</v>
      </c>
      <c r="N416" s="163">
        <v>4</v>
      </c>
      <c r="O416" s="135"/>
      <c r="P416" s="138"/>
      <c r="Q416" s="171" t="s">
        <v>1497</v>
      </c>
      <c r="R416" s="135"/>
    </row>
    <row r="417" spans="1:18">
      <c r="A417" s="135"/>
      <c r="B417" s="135"/>
      <c r="C417" s="135"/>
      <c r="D417" s="165"/>
      <c r="E417" s="135"/>
      <c r="F417" s="135"/>
      <c r="G417" s="135"/>
      <c r="H417" s="135"/>
      <c r="I417" s="135"/>
      <c r="J417" s="135"/>
      <c r="K417" s="135"/>
      <c r="L417" s="162" t="s">
        <v>88</v>
      </c>
      <c r="M417" s="163">
        <f t="shared" si="12"/>
        <v>44</v>
      </c>
      <c r="N417" s="163">
        <v>4</v>
      </c>
      <c r="O417" s="135"/>
      <c r="P417" s="138"/>
      <c r="Q417" s="132"/>
      <c r="R417" s="135"/>
    </row>
    <row r="418" ht="28.8" spans="1:18">
      <c r="A418" s="135"/>
      <c r="B418" s="135"/>
      <c r="C418" s="135"/>
      <c r="D418" s="132" t="s">
        <v>1453</v>
      </c>
      <c r="E418" s="135"/>
      <c r="F418" s="135"/>
      <c r="G418" s="135"/>
      <c r="H418" s="135"/>
      <c r="I418" s="135"/>
      <c r="J418" s="135"/>
      <c r="K418" s="135"/>
      <c r="L418" s="164" t="s">
        <v>1511</v>
      </c>
      <c r="M418" s="163">
        <f t="shared" si="12"/>
        <v>48</v>
      </c>
      <c r="N418" s="163">
        <v>4</v>
      </c>
      <c r="O418" s="135"/>
      <c r="P418" s="138"/>
      <c r="Q418" s="171" t="s">
        <v>1495</v>
      </c>
      <c r="R418" s="135"/>
    </row>
    <row r="419" ht="28.8" spans="1:18">
      <c r="A419" s="135"/>
      <c r="B419" s="135"/>
      <c r="C419" s="135"/>
      <c r="D419" s="132" t="s">
        <v>1453</v>
      </c>
      <c r="E419" s="135"/>
      <c r="F419" s="135"/>
      <c r="G419" s="135"/>
      <c r="H419" s="135"/>
      <c r="I419" s="135"/>
      <c r="J419" s="135"/>
      <c r="K419" s="135"/>
      <c r="L419" s="164" t="s">
        <v>1512</v>
      </c>
      <c r="M419" s="163">
        <f t="shared" si="12"/>
        <v>52</v>
      </c>
      <c r="N419" s="163">
        <v>4</v>
      </c>
      <c r="O419" s="135"/>
      <c r="P419" s="138"/>
      <c r="Q419" s="171" t="s">
        <v>1497</v>
      </c>
      <c r="R419" s="135"/>
    </row>
    <row r="420" spans="1:18">
      <c r="A420" s="131" t="s">
        <v>1412</v>
      </c>
      <c r="B420" s="131" t="s">
        <v>1513</v>
      </c>
      <c r="C420" s="131" t="s">
        <v>1429</v>
      </c>
      <c r="D420" s="132"/>
      <c r="E420" s="131" t="s">
        <v>1449</v>
      </c>
      <c r="F420" s="131" t="s">
        <v>1450</v>
      </c>
      <c r="G420" s="131" t="s">
        <v>1345</v>
      </c>
      <c r="H420" s="131" t="s">
        <v>1430</v>
      </c>
      <c r="I420" s="131" t="s">
        <v>1492</v>
      </c>
      <c r="J420" s="131">
        <v>8034</v>
      </c>
      <c r="K420" s="131" t="s">
        <v>1493</v>
      </c>
      <c r="L420" s="162" t="s">
        <v>87</v>
      </c>
      <c r="M420" s="163">
        <v>0</v>
      </c>
      <c r="N420" s="163">
        <v>4</v>
      </c>
      <c r="O420" s="131">
        <v>10</v>
      </c>
      <c r="P420" s="136" t="s">
        <v>1494</v>
      </c>
      <c r="Q420" s="132"/>
      <c r="R420" s="131" t="s">
        <v>1450</v>
      </c>
    </row>
    <row r="421" spans="1:18">
      <c r="A421" s="135"/>
      <c r="B421" s="135"/>
      <c r="C421" s="135"/>
      <c r="D421" s="132"/>
      <c r="E421" s="135"/>
      <c r="F421" s="135"/>
      <c r="G421" s="135"/>
      <c r="H421" s="135"/>
      <c r="I421" s="135"/>
      <c r="J421" s="135"/>
      <c r="K421" s="135"/>
      <c r="L421" s="162" t="s">
        <v>88</v>
      </c>
      <c r="M421" s="163">
        <v>4</v>
      </c>
      <c r="N421" s="163">
        <v>4</v>
      </c>
      <c r="O421" s="135"/>
      <c r="P421" s="138"/>
      <c r="Q421" s="132"/>
      <c r="R421" s="135"/>
    </row>
    <row r="422" ht="28.8" spans="1:18">
      <c r="A422" s="135"/>
      <c r="B422" s="135"/>
      <c r="C422" s="135"/>
      <c r="D422" s="132" t="s">
        <v>1453</v>
      </c>
      <c r="E422" s="135"/>
      <c r="F422" s="135"/>
      <c r="G422" s="135"/>
      <c r="H422" s="135"/>
      <c r="I422" s="135"/>
      <c r="J422" s="135"/>
      <c r="K422" s="135"/>
      <c r="L422" s="164" t="s">
        <v>48</v>
      </c>
      <c r="M422" s="163">
        <v>8</v>
      </c>
      <c r="N422" s="163">
        <v>4</v>
      </c>
      <c r="O422" s="135"/>
      <c r="P422" s="138"/>
      <c r="Q422" s="171" t="s">
        <v>1495</v>
      </c>
      <c r="R422" s="135"/>
    </row>
    <row r="423" ht="28.8" spans="1:18">
      <c r="A423" s="135"/>
      <c r="B423" s="135"/>
      <c r="C423" s="135"/>
      <c r="D423" s="132" t="s">
        <v>1453</v>
      </c>
      <c r="E423" s="135"/>
      <c r="F423" s="135"/>
      <c r="G423" s="135"/>
      <c r="H423" s="135"/>
      <c r="I423" s="135"/>
      <c r="J423" s="135"/>
      <c r="K423" s="135"/>
      <c r="L423" s="164" t="s">
        <v>1514</v>
      </c>
      <c r="M423" s="163">
        <f t="shared" ref="M423:M435" si="13">M422+N422</f>
        <v>12</v>
      </c>
      <c r="N423" s="163">
        <v>4</v>
      </c>
      <c r="O423" s="135"/>
      <c r="P423" s="138"/>
      <c r="Q423" s="171" t="s">
        <v>1497</v>
      </c>
      <c r="R423" s="135"/>
    </row>
    <row r="424" ht="28.8" spans="1:18">
      <c r="A424" s="135"/>
      <c r="B424" s="135"/>
      <c r="C424" s="135"/>
      <c r="D424" s="132" t="s">
        <v>1453</v>
      </c>
      <c r="E424" s="135"/>
      <c r="F424" s="135"/>
      <c r="G424" s="135"/>
      <c r="H424" s="135"/>
      <c r="I424" s="135"/>
      <c r="J424" s="135"/>
      <c r="K424" s="135"/>
      <c r="L424" s="164" t="s">
        <v>53</v>
      </c>
      <c r="M424" s="163">
        <f t="shared" si="13"/>
        <v>16</v>
      </c>
      <c r="N424" s="163">
        <v>4</v>
      </c>
      <c r="O424" s="135"/>
      <c r="P424" s="138"/>
      <c r="Q424" s="171" t="s">
        <v>1495</v>
      </c>
      <c r="R424" s="135"/>
    </row>
    <row r="425" ht="28.8" spans="1:18">
      <c r="A425" s="135"/>
      <c r="B425" s="135"/>
      <c r="C425" s="135"/>
      <c r="D425" s="132" t="s">
        <v>1453</v>
      </c>
      <c r="E425" s="135"/>
      <c r="F425" s="135"/>
      <c r="G425" s="135"/>
      <c r="H425" s="135"/>
      <c r="I425" s="135"/>
      <c r="J425" s="135"/>
      <c r="K425" s="135"/>
      <c r="L425" s="164" t="s">
        <v>1515</v>
      </c>
      <c r="M425" s="163">
        <f t="shared" si="13"/>
        <v>20</v>
      </c>
      <c r="N425" s="163">
        <v>4</v>
      </c>
      <c r="O425" s="135"/>
      <c r="P425" s="138"/>
      <c r="Q425" s="171" t="s">
        <v>1497</v>
      </c>
      <c r="R425" s="135"/>
    </row>
    <row r="426" spans="1:18">
      <c r="A426" s="135"/>
      <c r="B426" s="135"/>
      <c r="C426" s="135"/>
      <c r="D426" s="165"/>
      <c r="E426" s="135"/>
      <c r="F426" s="135"/>
      <c r="G426" s="135"/>
      <c r="H426" s="135"/>
      <c r="I426" s="135"/>
      <c r="J426" s="135"/>
      <c r="K426" s="135"/>
      <c r="L426" s="181" t="s">
        <v>88</v>
      </c>
      <c r="M426" s="163">
        <f t="shared" si="13"/>
        <v>24</v>
      </c>
      <c r="N426" s="163">
        <v>4</v>
      </c>
      <c r="O426" s="135"/>
      <c r="P426" s="138"/>
      <c r="Q426" s="171"/>
      <c r="R426" s="135"/>
    </row>
    <row r="427" ht="28.8" spans="1:18">
      <c r="A427" s="135"/>
      <c r="B427" s="135"/>
      <c r="C427" s="135"/>
      <c r="D427" s="132" t="s">
        <v>1453</v>
      </c>
      <c r="E427" s="135"/>
      <c r="F427" s="135"/>
      <c r="G427" s="135"/>
      <c r="H427" s="135"/>
      <c r="I427" s="135"/>
      <c r="J427" s="135"/>
      <c r="K427" s="135"/>
      <c r="L427" s="164" t="s">
        <v>1271</v>
      </c>
      <c r="M427" s="163">
        <f t="shared" si="13"/>
        <v>28</v>
      </c>
      <c r="N427" s="163">
        <v>4</v>
      </c>
      <c r="O427" s="135"/>
      <c r="P427" s="138"/>
      <c r="Q427" s="171" t="s">
        <v>1495</v>
      </c>
      <c r="R427" s="135"/>
    </row>
    <row r="428" ht="28.8" spans="1:18">
      <c r="A428" s="135"/>
      <c r="B428" s="135"/>
      <c r="C428" s="135"/>
      <c r="D428" s="132" t="s">
        <v>1453</v>
      </c>
      <c r="E428" s="135"/>
      <c r="F428" s="135"/>
      <c r="G428" s="135"/>
      <c r="H428" s="135"/>
      <c r="I428" s="135"/>
      <c r="J428" s="135"/>
      <c r="K428" s="135"/>
      <c r="L428" s="164" t="s">
        <v>1516</v>
      </c>
      <c r="M428" s="163">
        <f t="shared" si="13"/>
        <v>32</v>
      </c>
      <c r="N428" s="163">
        <v>4</v>
      </c>
      <c r="O428" s="135"/>
      <c r="P428" s="138"/>
      <c r="Q428" s="171" t="s">
        <v>1497</v>
      </c>
      <c r="R428" s="135"/>
    </row>
    <row r="429" ht="28.8" spans="1:18">
      <c r="A429" s="135"/>
      <c r="B429" s="135"/>
      <c r="C429" s="135"/>
      <c r="D429" s="132" t="s">
        <v>1453</v>
      </c>
      <c r="E429" s="135"/>
      <c r="F429" s="135"/>
      <c r="G429" s="135"/>
      <c r="H429" s="135"/>
      <c r="I429" s="135"/>
      <c r="J429" s="135"/>
      <c r="K429" s="135"/>
      <c r="L429" s="164" t="s">
        <v>1269</v>
      </c>
      <c r="M429" s="163">
        <f t="shared" si="13"/>
        <v>36</v>
      </c>
      <c r="N429" s="163">
        <v>4</v>
      </c>
      <c r="O429" s="135"/>
      <c r="P429" s="138"/>
      <c r="Q429" s="171" t="s">
        <v>1495</v>
      </c>
      <c r="R429" s="135"/>
    </row>
    <row r="430" ht="28.8" spans="1:18">
      <c r="A430" s="135"/>
      <c r="B430" s="135"/>
      <c r="C430" s="135"/>
      <c r="D430" s="132" t="s">
        <v>1453</v>
      </c>
      <c r="E430" s="135"/>
      <c r="F430" s="135"/>
      <c r="G430" s="135"/>
      <c r="H430" s="135"/>
      <c r="I430" s="135"/>
      <c r="J430" s="135"/>
      <c r="K430" s="135"/>
      <c r="L430" s="164" t="s">
        <v>1517</v>
      </c>
      <c r="M430" s="163">
        <f t="shared" si="13"/>
        <v>40</v>
      </c>
      <c r="N430" s="163">
        <v>4</v>
      </c>
      <c r="O430" s="135"/>
      <c r="P430" s="138"/>
      <c r="Q430" s="171" t="s">
        <v>1497</v>
      </c>
      <c r="R430" s="135"/>
    </row>
    <row r="431" spans="1:18">
      <c r="A431" s="135"/>
      <c r="B431" s="135"/>
      <c r="C431" s="135"/>
      <c r="D431" s="165"/>
      <c r="E431" s="135"/>
      <c r="F431" s="135"/>
      <c r="G431" s="135"/>
      <c r="H431" s="135"/>
      <c r="I431" s="135"/>
      <c r="J431" s="135"/>
      <c r="K431" s="135"/>
      <c r="L431" s="162" t="s">
        <v>88</v>
      </c>
      <c r="M431" s="163">
        <f t="shared" si="13"/>
        <v>44</v>
      </c>
      <c r="N431" s="163">
        <v>4</v>
      </c>
      <c r="O431" s="135"/>
      <c r="P431" s="138"/>
      <c r="Q431" s="132"/>
      <c r="R431" s="135"/>
    </row>
    <row r="432" ht="28.8" spans="1:18">
      <c r="A432" s="135"/>
      <c r="B432" s="135"/>
      <c r="C432" s="135"/>
      <c r="D432" s="132" t="s">
        <v>1453</v>
      </c>
      <c r="E432" s="135"/>
      <c r="F432" s="135"/>
      <c r="G432" s="135"/>
      <c r="H432" s="135"/>
      <c r="I432" s="135"/>
      <c r="J432" s="135"/>
      <c r="K432" s="135"/>
      <c r="L432" s="164" t="s">
        <v>1518</v>
      </c>
      <c r="M432" s="163">
        <f t="shared" si="13"/>
        <v>48</v>
      </c>
      <c r="N432" s="163">
        <v>4</v>
      </c>
      <c r="O432" s="135"/>
      <c r="P432" s="138"/>
      <c r="Q432" s="171" t="s">
        <v>1495</v>
      </c>
      <c r="R432" s="135"/>
    </row>
    <row r="433" ht="28.8" spans="1:22">
      <c r="A433" s="135"/>
      <c r="B433" s="135"/>
      <c r="C433" s="135"/>
      <c r="D433" s="132" t="s">
        <v>1453</v>
      </c>
      <c r="E433" s="135"/>
      <c r="F433" s="135"/>
      <c r="G433" s="135"/>
      <c r="H433" s="135"/>
      <c r="I433" s="135"/>
      <c r="J433" s="135"/>
      <c r="K433" s="135"/>
      <c r="L433" s="164" t="s">
        <v>1519</v>
      </c>
      <c r="M433" s="163">
        <f t="shared" si="13"/>
        <v>52</v>
      </c>
      <c r="N433" s="163">
        <v>4</v>
      </c>
      <c r="O433" s="135"/>
      <c r="P433" s="138"/>
      <c r="Q433" s="171" t="s">
        <v>1497</v>
      </c>
      <c r="R433" s="135"/>
    </row>
    <row r="434" s="95" customFormat="1" ht="23" customHeight="1" spans="1:22">
      <c r="A434" s="119" t="s">
        <v>1339</v>
      </c>
      <c r="B434" s="119" t="s">
        <v>1520</v>
      </c>
      <c r="C434" s="119" t="s">
        <v>1341</v>
      </c>
      <c r="D434" s="125" t="s">
        <v>1521</v>
      </c>
      <c r="E434" s="125" t="s">
        <v>1360</v>
      </c>
      <c r="F434" s="125" t="s">
        <v>1344</v>
      </c>
      <c r="G434" s="119" t="s">
        <v>1345</v>
      </c>
      <c r="H434" s="119" t="s">
        <v>1346</v>
      </c>
      <c r="I434" s="197" t="s">
        <v>1361</v>
      </c>
      <c r="J434" s="119">
        <v>8035</v>
      </c>
      <c r="K434" s="119" t="s">
        <v>1362</v>
      </c>
      <c r="L434" s="206" t="s">
        <v>87</v>
      </c>
      <c r="M434" s="207">
        <v>0</v>
      </c>
      <c r="N434" s="207">
        <v>4</v>
      </c>
      <c r="O434" s="119">
        <v>100</v>
      </c>
      <c r="P434" s="208"/>
      <c r="Q434" s="120"/>
      <c r="R434" s="119" t="s">
        <v>1363</v>
      </c>
      <c r="S434" s="120"/>
      <c r="T434" s="92"/>
      <c r="U434" s="92"/>
      <c r="V434" s="92"/>
    </row>
    <row r="435" s="95" customFormat="1" spans="1:22">
      <c r="A435" s="119"/>
      <c r="B435" s="119"/>
      <c r="C435" s="119"/>
      <c r="D435" s="158"/>
      <c r="E435" s="158"/>
      <c r="F435" s="158"/>
      <c r="G435" s="119"/>
      <c r="H435" s="119"/>
      <c r="I435" s="119"/>
      <c r="J435" s="119"/>
      <c r="K435" s="119"/>
      <c r="L435" s="206" t="s">
        <v>88</v>
      </c>
      <c r="M435" s="207">
        <v>4</v>
      </c>
      <c r="N435" s="207">
        <v>4</v>
      </c>
      <c r="O435" s="119"/>
      <c r="P435" s="208"/>
      <c r="Q435" s="120"/>
      <c r="R435" s="119"/>
      <c r="S435" s="120"/>
      <c r="T435" s="92"/>
      <c r="U435" s="92"/>
      <c r="V435" s="92"/>
    </row>
    <row r="436" s="95" customFormat="1" ht="28.8" spans="1:22">
      <c r="A436" s="119"/>
      <c r="B436" s="119"/>
      <c r="C436" s="119"/>
      <c r="D436" s="158"/>
      <c r="E436" s="158"/>
      <c r="F436" s="158"/>
      <c r="G436" s="119"/>
      <c r="H436" s="119"/>
      <c r="I436" s="119"/>
      <c r="J436" s="119"/>
      <c r="K436" s="119"/>
      <c r="L436" s="209" t="s">
        <v>1522</v>
      </c>
      <c r="M436" s="207">
        <v>8</v>
      </c>
      <c r="N436" s="207">
        <v>16</v>
      </c>
      <c r="O436" s="119"/>
      <c r="P436" s="208"/>
      <c r="Q436" s="120" t="s">
        <v>1365</v>
      </c>
      <c r="R436" s="119"/>
      <c r="S436" s="120"/>
      <c r="T436" s="92"/>
      <c r="U436" s="92"/>
      <c r="V436" s="92"/>
    </row>
    <row r="437" s="95" customFormat="1" ht="28.8" spans="1:22">
      <c r="A437" s="119"/>
      <c r="B437" s="119"/>
      <c r="C437" s="119"/>
      <c r="D437" s="126"/>
      <c r="E437" s="126"/>
      <c r="F437" s="126"/>
      <c r="G437" s="119"/>
      <c r="H437" s="119"/>
      <c r="I437" s="119"/>
      <c r="J437" s="119"/>
      <c r="K437" s="119"/>
      <c r="L437" s="209" t="s">
        <v>1523</v>
      </c>
      <c r="M437" s="119">
        <v>24</v>
      </c>
      <c r="N437" s="207">
        <v>16</v>
      </c>
      <c r="O437" s="119"/>
      <c r="P437" s="210"/>
      <c r="Q437" s="120" t="s">
        <v>1365</v>
      </c>
      <c r="R437" s="119"/>
      <c r="S437" s="120"/>
      <c r="T437" s="92"/>
      <c r="U437" s="92"/>
      <c r="V437" s="92"/>
    </row>
    <row r="438" s="95" customFormat="1" spans="1:22">
      <c r="A438" s="119" t="s">
        <v>1352</v>
      </c>
      <c r="B438" s="119" t="s">
        <v>1524</v>
      </c>
      <c r="C438" s="119" t="s">
        <v>1354</v>
      </c>
      <c r="D438" s="125" t="s">
        <v>1521</v>
      </c>
      <c r="E438" s="125" t="s">
        <v>1360</v>
      </c>
      <c r="F438" s="125" t="s">
        <v>1344</v>
      </c>
      <c r="G438" s="119" t="s">
        <v>1345</v>
      </c>
      <c r="H438" s="119" t="s">
        <v>1355</v>
      </c>
      <c r="I438" s="197" t="s">
        <v>1361</v>
      </c>
      <c r="J438" s="119">
        <v>8042</v>
      </c>
      <c r="K438" s="119" t="s">
        <v>1362</v>
      </c>
      <c r="L438" s="206" t="s">
        <v>87</v>
      </c>
      <c r="M438" s="207">
        <v>0</v>
      </c>
      <c r="N438" s="207">
        <v>4</v>
      </c>
      <c r="O438" s="119">
        <v>100</v>
      </c>
      <c r="P438" s="208"/>
      <c r="Q438" s="120"/>
      <c r="R438" s="119" t="s">
        <v>1363</v>
      </c>
      <c r="S438" s="120"/>
      <c r="T438" s="92"/>
      <c r="U438" s="92"/>
      <c r="V438" s="92"/>
    </row>
    <row r="439" s="95" customFormat="1" spans="1:22">
      <c r="A439" s="119"/>
      <c r="B439" s="119"/>
      <c r="C439" s="119"/>
      <c r="D439" s="158"/>
      <c r="E439" s="158"/>
      <c r="F439" s="158"/>
      <c r="G439" s="119"/>
      <c r="H439" s="119"/>
      <c r="I439" s="119"/>
      <c r="J439" s="119"/>
      <c r="K439" s="119"/>
      <c r="L439" s="206" t="s">
        <v>88</v>
      </c>
      <c r="M439" s="207">
        <v>4</v>
      </c>
      <c r="N439" s="207">
        <v>4</v>
      </c>
      <c r="O439" s="119"/>
      <c r="P439" s="208"/>
      <c r="Q439" s="120"/>
      <c r="R439" s="119"/>
      <c r="S439" s="120"/>
      <c r="T439" s="92"/>
      <c r="U439" s="92"/>
      <c r="V439" s="92"/>
    </row>
    <row r="440" s="95" customFormat="1" ht="28.8" spans="1:22">
      <c r="A440" s="119"/>
      <c r="B440" s="119"/>
      <c r="C440" s="119"/>
      <c r="D440" s="158"/>
      <c r="E440" s="158"/>
      <c r="F440" s="158"/>
      <c r="G440" s="119"/>
      <c r="H440" s="119"/>
      <c r="I440" s="119"/>
      <c r="J440" s="119"/>
      <c r="K440" s="119"/>
      <c r="L440" s="209" t="s">
        <v>1522</v>
      </c>
      <c r="M440" s="207">
        <v>8</v>
      </c>
      <c r="N440" s="207">
        <v>16</v>
      </c>
      <c r="O440" s="119"/>
      <c r="P440" s="208"/>
      <c r="Q440" s="120" t="s">
        <v>1365</v>
      </c>
      <c r="R440" s="119"/>
      <c r="S440" s="120"/>
      <c r="T440" s="92"/>
      <c r="U440" s="92"/>
      <c r="V440" s="92"/>
    </row>
    <row r="441" s="95" customFormat="1" ht="23" customHeight="1" spans="1:22">
      <c r="A441" s="119"/>
      <c r="B441" s="119"/>
      <c r="C441" s="119"/>
      <c r="D441" s="126"/>
      <c r="E441" s="126"/>
      <c r="F441" s="126"/>
      <c r="G441" s="119"/>
      <c r="H441" s="119"/>
      <c r="I441" s="119"/>
      <c r="J441" s="119"/>
      <c r="K441" s="119"/>
      <c r="L441" s="209" t="s">
        <v>1523</v>
      </c>
      <c r="M441" s="119">
        <v>24</v>
      </c>
      <c r="N441" s="207">
        <v>16</v>
      </c>
      <c r="O441" s="119"/>
      <c r="P441" s="210"/>
      <c r="Q441" s="120" t="s">
        <v>1365</v>
      </c>
      <c r="R441" s="119"/>
      <c r="S441" s="120"/>
      <c r="T441" s="92"/>
      <c r="U441" s="92"/>
      <c r="V441" s="92"/>
    </row>
    <row r="442" spans="1:22">
      <c r="A442" s="131" t="s">
        <v>1525</v>
      </c>
      <c r="B442" s="131" t="s">
        <v>1526</v>
      </c>
      <c r="C442" s="131" t="s">
        <v>1527</v>
      </c>
      <c r="D442" s="132"/>
      <c r="E442" s="131">
        <v>1601003</v>
      </c>
      <c r="F442" s="131" t="s">
        <v>119</v>
      </c>
      <c r="G442" s="131" t="s">
        <v>1345</v>
      </c>
      <c r="H442" s="131" t="s">
        <v>1346</v>
      </c>
      <c r="I442" s="131" t="s">
        <v>1440</v>
      </c>
      <c r="J442" s="131">
        <v>8050</v>
      </c>
      <c r="K442" s="131" t="s">
        <v>1362</v>
      </c>
      <c r="L442" s="173" t="s">
        <v>87</v>
      </c>
      <c r="M442" s="163">
        <v>0</v>
      </c>
      <c r="N442" s="163">
        <v>4</v>
      </c>
      <c r="O442" s="131">
        <v>100</v>
      </c>
      <c r="P442" s="136"/>
      <c r="Q442" s="132"/>
      <c r="R442" s="131" t="s">
        <v>119</v>
      </c>
    </row>
    <row r="443" spans="1:22">
      <c r="A443" s="135"/>
      <c r="B443" s="135"/>
      <c r="C443" s="135"/>
      <c r="D443" s="132"/>
      <c r="E443" s="135"/>
      <c r="F443" s="135"/>
      <c r="G443" s="135"/>
      <c r="H443" s="135"/>
      <c r="I443" s="135"/>
      <c r="J443" s="135"/>
      <c r="K443" s="135"/>
      <c r="L443" s="173" t="s">
        <v>88</v>
      </c>
      <c r="M443" s="163">
        <v>4</v>
      </c>
      <c r="N443" s="163">
        <v>4</v>
      </c>
      <c r="O443" s="135"/>
      <c r="P443" s="138"/>
      <c r="Q443" s="132"/>
      <c r="R443" s="135"/>
    </row>
    <row r="444" spans="1:22">
      <c r="A444" s="135"/>
      <c r="B444" s="135"/>
      <c r="C444" s="135"/>
      <c r="D444" s="132" t="s">
        <v>1528</v>
      </c>
      <c r="E444" s="135"/>
      <c r="F444" s="135"/>
      <c r="G444" s="135"/>
      <c r="H444" s="135"/>
      <c r="I444" s="135"/>
      <c r="J444" s="135"/>
      <c r="K444" s="135"/>
      <c r="L444" s="174" t="s">
        <v>1529</v>
      </c>
      <c r="M444" s="163">
        <v>8</v>
      </c>
      <c r="N444" s="163">
        <v>4</v>
      </c>
      <c r="O444" s="135"/>
      <c r="P444" s="138"/>
      <c r="Q444" s="171" t="s">
        <v>1530</v>
      </c>
      <c r="R444" s="135"/>
    </row>
    <row r="445" spans="1:22">
      <c r="A445" s="135"/>
      <c r="B445" s="135"/>
      <c r="C445" s="135"/>
      <c r="D445" s="132" t="s">
        <v>1528</v>
      </c>
      <c r="E445" s="135"/>
      <c r="F445" s="135"/>
      <c r="G445" s="135"/>
      <c r="H445" s="135"/>
      <c r="I445" s="135"/>
      <c r="J445" s="135"/>
      <c r="K445" s="135"/>
      <c r="L445" s="174" t="s">
        <v>1288</v>
      </c>
      <c r="M445" s="163">
        <f t="shared" ref="M445:M455" si="14">M444+N444</f>
        <v>12</v>
      </c>
      <c r="N445" s="163">
        <v>4</v>
      </c>
      <c r="O445" s="135"/>
      <c r="P445" s="138"/>
      <c r="Q445" s="171" t="s">
        <v>1530</v>
      </c>
      <c r="R445" s="135"/>
    </row>
    <row r="446" spans="1:22">
      <c r="A446" s="135"/>
      <c r="B446" s="135"/>
      <c r="C446" s="135"/>
      <c r="D446" s="132" t="s">
        <v>1528</v>
      </c>
      <c r="E446" s="135"/>
      <c r="F446" s="135"/>
      <c r="G446" s="135"/>
      <c r="H446" s="135"/>
      <c r="I446" s="135"/>
      <c r="J446" s="135"/>
      <c r="K446" s="135"/>
      <c r="L446" s="174" t="s">
        <v>1531</v>
      </c>
      <c r="M446" s="163">
        <f t="shared" si="14"/>
        <v>16</v>
      </c>
      <c r="N446" s="163">
        <v>4</v>
      </c>
      <c r="O446" s="135"/>
      <c r="P446" s="138"/>
      <c r="Q446" s="171" t="s">
        <v>1530</v>
      </c>
      <c r="R446" s="135"/>
    </row>
    <row r="447" spans="1:22">
      <c r="A447" s="135"/>
      <c r="B447" s="135"/>
      <c r="C447" s="135"/>
      <c r="D447" s="132" t="s">
        <v>1528</v>
      </c>
      <c r="E447" s="135"/>
      <c r="F447" s="135"/>
      <c r="G447" s="135"/>
      <c r="H447" s="135"/>
      <c r="I447" s="135"/>
      <c r="J447" s="135"/>
      <c r="K447" s="135"/>
      <c r="L447" s="174" t="s">
        <v>1532</v>
      </c>
      <c r="M447" s="163">
        <f t="shared" si="14"/>
        <v>20</v>
      </c>
      <c r="N447" s="163">
        <v>4</v>
      </c>
      <c r="O447" s="135"/>
      <c r="P447" s="138"/>
      <c r="Q447" s="171" t="s">
        <v>1530</v>
      </c>
      <c r="R447" s="135"/>
    </row>
    <row r="448" spans="1:22">
      <c r="A448" s="135"/>
      <c r="B448" s="135"/>
      <c r="C448" s="135"/>
      <c r="D448" s="165"/>
      <c r="E448" s="135"/>
      <c r="F448" s="135"/>
      <c r="G448" s="135"/>
      <c r="H448" s="135"/>
      <c r="I448" s="135"/>
      <c r="J448" s="135"/>
      <c r="K448" s="135"/>
      <c r="L448" s="174" t="s">
        <v>88</v>
      </c>
      <c r="M448" s="163">
        <f t="shared" si="14"/>
        <v>24</v>
      </c>
      <c r="N448" s="163">
        <v>4</v>
      </c>
      <c r="O448" s="135"/>
      <c r="P448" s="138"/>
      <c r="Q448" s="171"/>
      <c r="R448" s="135"/>
    </row>
    <row r="449" spans="1:18">
      <c r="A449" s="135"/>
      <c r="B449" s="135"/>
      <c r="C449" s="135"/>
      <c r="D449" s="132" t="s">
        <v>1528</v>
      </c>
      <c r="E449" s="135"/>
      <c r="F449" s="135"/>
      <c r="G449" s="135"/>
      <c r="H449" s="135"/>
      <c r="I449" s="135"/>
      <c r="J449" s="135"/>
      <c r="K449" s="135"/>
      <c r="L449" s="174" t="s">
        <v>1301</v>
      </c>
      <c r="M449" s="163">
        <f t="shared" si="14"/>
        <v>28</v>
      </c>
      <c r="N449" s="163">
        <v>4</v>
      </c>
      <c r="O449" s="135"/>
      <c r="P449" s="138"/>
      <c r="Q449" s="171" t="s">
        <v>1530</v>
      </c>
      <c r="R449" s="135"/>
    </row>
    <row r="450" spans="1:18">
      <c r="A450" s="135"/>
      <c r="B450" s="135"/>
      <c r="C450" s="135"/>
      <c r="D450" s="132" t="s">
        <v>1528</v>
      </c>
      <c r="E450" s="135"/>
      <c r="F450" s="135"/>
      <c r="G450" s="135"/>
      <c r="H450" s="135"/>
      <c r="I450" s="135"/>
      <c r="J450" s="135"/>
      <c r="K450" s="135"/>
      <c r="L450" s="174" t="s">
        <v>1533</v>
      </c>
      <c r="M450" s="163">
        <f t="shared" si="14"/>
        <v>32</v>
      </c>
      <c r="N450" s="163">
        <v>4</v>
      </c>
      <c r="O450" s="135"/>
      <c r="P450" s="138"/>
      <c r="Q450" s="171" t="s">
        <v>1530</v>
      </c>
      <c r="R450" s="135"/>
    </row>
    <row r="451" spans="1:18">
      <c r="A451" s="135"/>
      <c r="B451" s="135"/>
      <c r="C451" s="135"/>
      <c r="D451" s="132" t="s">
        <v>1528</v>
      </c>
      <c r="E451" s="135"/>
      <c r="F451" s="135"/>
      <c r="G451" s="135"/>
      <c r="H451" s="135"/>
      <c r="I451" s="135"/>
      <c r="J451" s="135"/>
      <c r="K451" s="135"/>
      <c r="L451" s="174" t="s">
        <v>1534</v>
      </c>
      <c r="M451" s="163">
        <f t="shared" si="14"/>
        <v>36</v>
      </c>
      <c r="N451" s="163">
        <v>4</v>
      </c>
      <c r="O451" s="135"/>
      <c r="P451" s="138"/>
      <c r="Q451" s="171" t="s">
        <v>1530</v>
      </c>
      <c r="R451" s="135"/>
    </row>
    <row r="452" spans="1:18">
      <c r="A452" s="131" t="s">
        <v>1535</v>
      </c>
      <c r="B452" s="131" t="s">
        <v>1526</v>
      </c>
      <c r="C452" s="131" t="s">
        <v>1527</v>
      </c>
      <c r="D452" s="132"/>
      <c r="E452" s="131">
        <v>1601003</v>
      </c>
      <c r="F452" s="131" t="s">
        <v>119</v>
      </c>
      <c r="G452" s="131" t="s">
        <v>1345</v>
      </c>
      <c r="H452" s="131" t="s">
        <v>1346</v>
      </c>
      <c r="I452" s="131" t="s">
        <v>1440</v>
      </c>
      <c r="J452" s="131">
        <v>8051</v>
      </c>
      <c r="K452" s="131" t="s">
        <v>1362</v>
      </c>
      <c r="L452" s="173" t="s">
        <v>87</v>
      </c>
      <c r="M452" s="163">
        <v>0</v>
      </c>
      <c r="N452" s="163">
        <v>4</v>
      </c>
      <c r="O452" s="131">
        <v>100</v>
      </c>
      <c r="P452" s="136"/>
      <c r="Q452" s="132"/>
      <c r="R452" s="131" t="s">
        <v>119</v>
      </c>
    </row>
    <row r="453" spans="1:18">
      <c r="A453" s="135"/>
      <c r="B453" s="135"/>
      <c r="C453" s="135"/>
      <c r="D453" s="132"/>
      <c r="E453" s="135"/>
      <c r="F453" s="135"/>
      <c r="G453" s="135"/>
      <c r="H453" s="135"/>
      <c r="I453" s="135"/>
      <c r="J453" s="135"/>
      <c r="K453" s="135"/>
      <c r="L453" s="173" t="s">
        <v>88</v>
      </c>
      <c r="M453" s="163">
        <v>4</v>
      </c>
      <c r="N453" s="163">
        <v>4</v>
      </c>
      <c r="O453" s="135"/>
      <c r="P453" s="138"/>
      <c r="Q453" s="132"/>
      <c r="R453" s="135"/>
    </row>
    <row r="454" spans="1:18">
      <c r="A454" s="135"/>
      <c r="B454" s="135"/>
      <c r="C454" s="135"/>
      <c r="D454" s="132" t="s">
        <v>1528</v>
      </c>
      <c r="E454" s="135"/>
      <c r="F454" s="135"/>
      <c r="G454" s="135"/>
      <c r="H454" s="135"/>
      <c r="I454" s="135"/>
      <c r="J454" s="135"/>
      <c r="K454" s="135"/>
      <c r="L454" s="174" t="s">
        <v>1536</v>
      </c>
      <c r="M454" s="163">
        <v>8</v>
      </c>
      <c r="N454" s="163">
        <v>4</v>
      </c>
      <c r="O454" s="135"/>
      <c r="P454" s="138"/>
      <c r="Q454" s="171" t="s">
        <v>1530</v>
      </c>
      <c r="R454" s="135"/>
    </row>
    <row r="455" spans="1:18">
      <c r="A455" s="135"/>
      <c r="B455" s="135"/>
      <c r="C455" s="135"/>
      <c r="D455" s="132" t="s">
        <v>1528</v>
      </c>
      <c r="E455" s="135"/>
      <c r="F455" s="135"/>
      <c r="G455" s="135"/>
      <c r="H455" s="135"/>
      <c r="I455" s="135"/>
      <c r="J455" s="135"/>
      <c r="K455" s="135"/>
      <c r="L455" s="174" t="s">
        <v>1537</v>
      </c>
      <c r="M455" s="163">
        <f t="shared" ref="M455:M465" si="15">M454+N454</f>
        <v>12</v>
      </c>
      <c r="N455" s="163">
        <v>4</v>
      </c>
      <c r="O455" s="135"/>
      <c r="P455" s="138"/>
      <c r="Q455" s="171" t="s">
        <v>1530</v>
      </c>
      <c r="R455" s="135"/>
    </row>
    <row r="456" spans="1:18">
      <c r="A456" s="131" t="s">
        <v>1538</v>
      </c>
      <c r="B456" s="131" t="s">
        <v>1526</v>
      </c>
      <c r="C456" s="131" t="s">
        <v>1527</v>
      </c>
      <c r="D456" s="132"/>
      <c r="E456" s="131">
        <v>1601004</v>
      </c>
      <c r="F456" s="131" t="s">
        <v>119</v>
      </c>
      <c r="G456" s="131" t="s">
        <v>1345</v>
      </c>
      <c r="H456" s="131" t="s">
        <v>1355</v>
      </c>
      <c r="I456" s="131" t="s">
        <v>1440</v>
      </c>
      <c r="J456" s="131">
        <v>8052</v>
      </c>
      <c r="K456" s="131" t="s">
        <v>1362</v>
      </c>
      <c r="L456" s="173" t="s">
        <v>87</v>
      </c>
      <c r="M456" s="163">
        <v>0</v>
      </c>
      <c r="N456" s="163">
        <v>4</v>
      </c>
      <c r="O456" s="131">
        <v>100</v>
      </c>
      <c r="P456" s="136"/>
      <c r="Q456" s="132"/>
      <c r="R456" s="131" t="s">
        <v>119</v>
      </c>
    </row>
    <row r="457" spans="1:18">
      <c r="A457" s="135"/>
      <c r="B457" s="135"/>
      <c r="C457" s="135"/>
      <c r="D457" s="132"/>
      <c r="E457" s="135"/>
      <c r="F457" s="135"/>
      <c r="G457" s="135"/>
      <c r="H457" s="135"/>
      <c r="I457" s="135"/>
      <c r="J457" s="135"/>
      <c r="K457" s="135"/>
      <c r="L457" s="173" t="s">
        <v>88</v>
      </c>
      <c r="M457" s="163">
        <v>4</v>
      </c>
      <c r="N457" s="163">
        <v>4</v>
      </c>
      <c r="O457" s="135"/>
      <c r="P457" s="138"/>
      <c r="Q457" s="132"/>
      <c r="R457" s="135"/>
    </row>
    <row r="458" spans="1:18">
      <c r="A458" s="135"/>
      <c r="B458" s="135"/>
      <c r="C458" s="135"/>
      <c r="D458" s="132" t="s">
        <v>1528</v>
      </c>
      <c r="E458" s="135"/>
      <c r="F458" s="135"/>
      <c r="G458" s="135"/>
      <c r="H458" s="135"/>
      <c r="I458" s="135"/>
      <c r="J458" s="135"/>
      <c r="K458" s="135"/>
      <c r="L458" s="174" t="s">
        <v>1529</v>
      </c>
      <c r="M458" s="163">
        <v>8</v>
      </c>
      <c r="N458" s="163">
        <v>4</v>
      </c>
      <c r="O458" s="135"/>
      <c r="P458" s="138"/>
      <c r="Q458" s="171" t="s">
        <v>1539</v>
      </c>
      <c r="R458" s="135"/>
    </row>
    <row r="459" spans="1:18">
      <c r="A459" s="135"/>
      <c r="B459" s="135"/>
      <c r="C459" s="135"/>
      <c r="D459" s="132" t="s">
        <v>1528</v>
      </c>
      <c r="E459" s="135"/>
      <c r="F459" s="135"/>
      <c r="G459" s="135"/>
      <c r="H459" s="135"/>
      <c r="I459" s="135"/>
      <c r="J459" s="135"/>
      <c r="K459" s="135"/>
      <c r="L459" s="174" t="s">
        <v>1288</v>
      </c>
      <c r="M459" s="163">
        <f t="shared" si="15"/>
        <v>12</v>
      </c>
      <c r="N459" s="163">
        <v>4</v>
      </c>
      <c r="O459" s="135"/>
      <c r="P459" s="138"/>
      <c r="Q459" s="171" t="s">
        <v>1539</v>
      </c>
      <c r="R459" s="135"/>
    </row>
    <row r="460" spans="1:18">
      <c r="A460" s="135"/>
      <c r="B460" s="135"/>
      <c r="C460" s="135"/>
      <c r="D460" s="132" t="s">
        <v>1528</v>
      </c>
      <c r="E460" s="135"/>
      <c r="F460" s="135"/>
      <c r="G460" s="135"/>
      <c r="H460" s="135"/>
      <c r="I460" s="135"/>
      <c r="J460" s="135"/>
      <c r="K460" s="135"/>
      <c r="L460" s="174" t="s">
        <v>1531</v>
      </c>
      <c r="M460" s="163">
        <f t="shared" si="15"/>
        <v>16</v>
      </c>
      <c r="N460" s="163">
        <v>4</v>
      </c>
      <c r="O460" s="135"/>
      <c r="P460" s="138"/>
      <c r="Q460" s="171" t="s">
        <v>1539</v>
      </c>
      <c r="R460" s="135"/>
    </row>
    <row r="461" spans="1:18">
      <c r="A461" s="135"/>
      <c r="B461" s="135"/>
      <c r="C461" s="135"/>
      <c r="D461" s="132" t="s">
        <v>1528</v>
      </c>
      <c r="E461" s="135"/>
      <c r="F461" s="135"/>
      <c r="G461" s="135"/>
      <c r="H461" s="135"/>
      <c r="I461" s="135"/>
      <c r="J461" s="135"/>
      <c r="K461" s="135"/>
      <c r="L461" s="174" t="s">
        <v>1532</v>
      </c>
      <c r="M461" s="163">
        <f t="shared" si="15"/>
        <v>20</v>
      </c>
      <c r="N461" s="163">
        <v>4</v>
      </c>
      <c r="O461" s="135"/>
      <c r="P461" s="138"/>
      <c r="Q461" s="171" t="s">
        <v>1539</v>
      </c>
      <c r="R461" s="135"/>
    </row>
    <row r="462" spans="1:18">
      <c r="A462" s="135"/>
      <c r="B462" s="135"/>
      <c r="C462" s="135"/>
      <c r="D462" s="165"/>
      <c r="E462" s="135"/>
      <c r="F462" s="135"/>
      <c r="G462" s="135"/>
      <c r="H462" s="135"/>
      <c r="I462" s="135"/>
      <c r="J462" s="135"/>
      <c r="K462" s="135"/>
      <c r="L462" s="174" t="s">
        <v>88</v>
      </c>
      <c r="M462" s="163">
        <f t="shared" si="15"/>
        <v>24</v>
      </c>
      <c r="N462" s="163">
        <v>4</v>
      </c>
      <c r="O462" s="135"/>
      <c r="P462" s="138"/>
      <c r="Q462" s="171"/>
      <c r="R462" s="135"/>
    </row>
    <row r="463" spans="1:18">
      <c r="A463" s="135"/>
      <c r="B463" s="135"/>
      <c r="C463" s="135"/>
      <c r="D463" s="132" t="s">
        <v>1528</v>
      </c>
      <c r="E463" s="135"/>
      <c r="F463" s="135"/>
      <c r="G463" s="135"/>
      <c r="H463" s="135"/>
      <c r="I463" s="135"/>
      <c r="J463" s="135"/>
      <c r="K463" s="135"/>
      <c r="L463" s="174" t="s">
        <v>1301</v>
      </c>
      <c r="M463" s="163">
        <f t="shared" si="15"/>
        <v>28</v>
      </c>
      <c r="N463" s="163">
        <v>4</v>
      </c>
      <c r="O463" s="135"/>
      <c r="P463" s="138"/>
      <c r="Q463" s="171" t="s">
        <v>1539</v>
      </c>
      <c r="R463" s="135"/>
    </row>
    <row r="464" spans="1:18">
      <c r="A464" s="135"/>
      <c r="B464" s="135"/>
      <c r="C464" s="135"/>
      <c r="D464" s="132" t="s">
        <v>1528</v>
      </c>
      <c r="E464" s="135"/>
      <c r="F464" s="135"/>
      <c r="G464" s="135"/>
      <c r="H464" s="135"/>
      <c r="I464" s="135"/>
      <c r="J464" s="135"/>
      <c r="K464" s="135"/>
      <c r="L464" s="174" t="s">
        <v>1533</v>
      </c>
      <c r="M464" s="163">
        <f t="shared" si="15"/>
        <v>32</v>
      </c>
      <c r="N464" s="163">
        <v>4</v>
      </c>
      <c r="O464" s="135"/>
      <c r="P464" s="138"/>
      <c r="Q464" s="171" t="s">
        <v>1539</v>
      </c>
      <c r="R464" s="135"/>
    </row>
    <row r="465" spans="1:18">
      <c r="A465" s="135"/>
      <c r="B465" s="135"/>
      <c r="C465" s="135"/>
      <c r="D465" s="132" t="s">
        <v>1528</v>
      </c>
      <c r="E465" s="135"/>
      <c r="F465" s="135"/>
      <c r="G465" s="135"/>
      <c r="H465" s="135"/>
      <c r="I465" s="135"/>
      <c r="J465" s="135"/>
      <c r="K465" s="135"/>
      <c r="L465" s="174" t="s">
        <v>1534</v>
      </c>
      <c r="M465" s="163">
        <f t="shared" si="15"/>
        <v>36</v>
      </c>
      <c r="N465" s="163">
        <v>4</v>
      </c>
      <c r="O465" s="135"/>
      <c r="P465" s="138"/>
      <c r="Q465" s="171" t="s">
        <v>1539</v>
      </c>
      <c r="R465" s="135"/>
    </row>
    <row r="466" spans="1:18">
      <c r="A466" s="131" t="s">
        <v>1540</v>
      </c>
      <c r="B466" s="131" t="s">
        <v>1526</v>
      </c>
      <c r="C466" s="131" t="s">
        <v>1527</v>
      </c>
      <c r="D466" s="132"/>
      <c r="E466" s="131">
        <v>1601004</v>
      </c>
      <c r="F466" s="131" t="s">
        <v>119</v>
      </c>
      <c r="G466" s="131" t="s">
        <v>1345</v>
      </c>
      <c r="H466" s="131" t="s">
        <v>1355</v>
      </c>
      <c r="I466" s="131" t="s">
        <v>1440</v>
      </c>
      <c r="J466" s="131">
        <v>8053</v>
      </c>
      <c r="K466" s="131" t="s">
        <v>1362</v>
      </c>
      <c r="L466" s="173" t="s">
        <v>87</v>
      </c>
      <c r="M466" s="163">
        <v>0</v>
      </c>
      <c r="N466" s="163">
        <v>4</v>
      </c>
      <c r="O466" s="131">
        <v>100</v>
      </c>
      <c r="P466" s="136"/>
      <c r="Q466" s="132"/>
      <c r="R466" s="131" t="s">
        <v>119</v>
      </c>
    </row>
    <row r="467" spans="1:18">
      <c r="A467" s="135"/>
      <c r="B467" s="135"/>
      <c r="C467" s="135"/>
      <c r="D467" s="132"/>
      <c r="E467" s="135"/>
      <c r="F467" s="135"/>
      <c r="G467" s="135"/>
      <c r="H467" s="135"/>
      <c r="I467" s="135"/>
      <c r="J467" s="135"/>
      <c r="K467" s="135"/>
      <c r="L467" s="173" t="s">
        <v>88</v>
      </c>
      <c r="M467" s="163">
        <v>4</v>
      </c>
      <c r="N467" s="163">
        <v>4</v>
      </c>
      <c r="O467" s="135"/>
      <c r="P467" s="138"/>
      <c r="Q467" s="132"/>
      <c r="R467" s="135"/>
    </row>
    <row r="468" spans="1:18">
      <c r="A468" s="135"/>
      <c r="B468" s="135"/>
      <c r="C468" s="135"/>
      <c r="D468" s="132" t="s">
        <v>1528</v>
      </c>
      <c r="E468" s="135"/>
      <c r="F468" s="135"/>
      <c r="G468" s="135"/>
      <c r="H468" s="135"/>
      <c r="I468" s="135"/>
      <c r="J468" s="135"/>
      <c r="K468" s="135"/>
      <c r="L468" s="174" t="s">
        <v>1536</v>
      </c>
      <c r="M468" s="163">
        <v>8</v>
      </c>
      <c r="N468" s="163">
        <v>4</v>
      </c>
      <c r="O468" s="135"/>
      <c r="P468" s="138"/>
      <c r="Q468" s="171" t="s">
        <v>1539</v>
      </c>
      <c r="R468" s="135"/>
    </row>
    <row r="469" spans="1:18">
      <c r="A469" s="135"/>
      <c r="B469" s="135"/>
      <c r="C469" s="135"/>
      <c r="D469" s="132" t="s">
        <v>1528</v>
      </c>
      <c r="E469" s="135"/>
      <c r="F469" s="135"/>
      <c r="G469" s="135"/>
      <c r="H469" s="135"/>
      <c r="I469" s="135"/>
      <c r="J469" s="135"/>
      <c r="K469" s="135"/>
      <c r="L469" s="174" t="s">
        <v>1537</v>
      </c>
      <c r="M469" s="163">
        <f>M468+N468</f>
        <v>12</v>
      </c>
      <c r="N469" s="163">
        <v>4</v>
      </c>
      <c r="O469" s="135"/>
      <c r="P469" s="138"/>
      <c r="Q469" s="171" t="s">
        <v>1539</v>
      </c>
      <c r="R469" s="135"/>
    </row>
  </sheetData>
  <autoFilter xmlns:etc="http://www.wps.cn/officeDocument/2017/etCustomData" ref="A1:S469" etc:filterBottomFollowUsedRange="0">
    <extLst/>
  </autoFilter>
  <mergeCells count="610">
    <mergeCell ref="A2:A4"/>
    <mergeCell ref="A5:A7"/>
    <mergeCell ref="A8:A10"/>
    <mergeCell ref="A11:A13"/>
    <mergeCell ref="A14:A17"/>
    <mergeCell ref="A18:A21"/>
    <mergeCell ref="A22:A24"/>
    <mergeCell ref="A25:A28"/>
    <mergeCell ref="A29:A32"/>
    <mergeCell ref="A33:A35"/>
    <mergeCell ref="A36:A39"/>
    <mergeCell ref="A40:A43"/>
    <mergeCell ref="A44:A84"/>
    <mergeCell ref="A85:A87"/>
    <mergeCell ref="A88:A96"/>
    <mergeCell ref="A97:A114"/>
    <mergeCell ref="A115:A117"/>
    <mergeCell ref="A118:A126"/>
    <mergeCell ref="A127:A144"/>
    <mergeCell ref="A145:A149"/>
    <mergeCell ref="A150:A154"/>
    <mergeCell ref="A155:A159"/>
    <mergeCell ref="A160:A198"/>
    <mergeCell ref="A199:A237"/>
    <mergeCell ref="A238:A276"/>
    <mergeCell ref="A277:A315"/>
    <mergeCell ref="A316:A333"/>
    <mergeCell ref="A334:A351"/>
    <mergeCell ref="A352:A355"/>
    <mergeCell ref="A356:A359"/>
    <mergeCell ref="A360:A363"/>
    <mergeCell ref="A364:A367"/>
    <mergeCell ref="A392:A405"/>
    <mergeCell ref="A406:A419"/>
    <mergeCell ref="A420:A433"/>
    <mergeCell ref="A434:A437"/>
    <mergeCell ref="A438:A441"/>
    <mergeCell ref="A442:A451"/>
    <mergeCell ref="A452:A455"/>
    <mergeCell ref="A456:A465"/>
    <mergeCell ref="A466:A469"/>
    <mergeCell ref="B2:B4"/>
    <mergeCell ref="B5:B7"/>
    <mergeCell ref="B8:B10"/>
    <mergeCell ref="B11:B13"/>
    <mergeCell ref="B14:B17"/>
    <mergeCell ref="B18:B21"/>
    <mergeCell ref="B22:B24"/>
    <mergeCell ref="B25:B28"/>
    <mergeCell ref="B29:B32"/>
    <mergeCell ref="B33:B35"/>
    <mergeCell ref="B36:B39"/>
    <mergeCell ref="B40:B43"/>
    <mergeCell ref="B44:B84"/>
    <mergeCell ref="B85:B87"/>
    <mergeCell ref="B88:B96"/>
    <mergeCell ref="B97:B114"/>
    <mergeCell ref="B115:B117"/>
    <mergeCell ref="B118:B126"/>
    <mergeCell ref="B127:B144"/>
    <mergeCell ref="B145:B149"/>
    <mergeCell ref="B150:B154"/>
    <mergeCell ref="B155:B159"/>
    <mergeCell ref="B160:B198"/>
    <mergeCell ref="B199:B237"/>
    <mergeCell ref="B238:B276"/>
    <mergeCell ref="B277:B315"/>
    <mergeCell ref="B316:B333"/>
    <mergeCell ref="B334:B351"/>
    <mergeCell ref="B352:B355"/>
    <mergeCell ref="B356:B359"/>
    <mergeCell ref="B360:B363"/>
    <mergeCell ref="B364:B367"/>
    <mergeCell ref="B368:B371"/>
    <mergeCell ref="B372:B375"/>
    <mergeCell ref="B376:B379"/>
    <mergeCell ref="B380:B383"/>
    <mergeCell ref="B384:B387"/>
    <mergeCell ref="B388:B391"/>
    <mergeCell ref="B392:B405"/>
    <mergeCell ref="B406:B419"/>
    <mergeCell ref="B420:B433"/>
    <mergeCell ref="B434:B437"/>
    <mergeCell ref="B438:B441"/>
    <mergeCell ref="B442:B451"/>
    <mergeCell ref="B452:B455"/>
    <mergeCell ref="B456:B465"/>
    <mergeCell ref="B466:B469"/>
    <mergeCell ref="C2:C4"/>
    <mergeCell ref="C5:C7"/>
    <mergeCell ref="C8:C10"/>
    <mergeCell ref="C11:C13"/>
    <mergeCell ref="C14:C17"/>
    <mergeCell ref="C18:C21"/>
    <mergeCell ref="C22:C24"/>
    <mergeCell ref="C25:C28"/>
    <mergeCell ref="C29:C32"/>
    <mergeCell ref="C33:C35"/>
    <mergeCell ref="C36:C39"/>
    <mergeCell ref="C40:C43"/>
    <mergeCell ref="C44:C84"/>
    <mergeCell ref="C85:C87"/>
    <mergeCell ref="C88:C96"/>
    <mergeCell ref="C97:C114"/>
    <mergeCell ref="C115:C117"/>
    <mergeCell ref="C118:C126"/>
    <mergeCell ref="C127:C144"/>
    <mergeCell ref="C145:C149"/>
    <mergeCell ref="C150:C154"/>
    <mergeCell ref="C155:C159"/>
    <mergeCell ref="C160:C198"/>
    <mergeCell ref="C199:C237"/>
    <mergeCell ref="C238:C276"/>
    <mergeCell ref="C277:C315"/>
    <mergeCell ref="C316:C333"/>
    <mergeCell ref="C334:C351"/>
    <mergeCell ref="C352:C355"/>
    <mergeCell ref="C356:C359"/>
    <mergeCell ref="C360:C363"/>
    <mergeCell ref="C364:C367"/>
    <mergeCell ref="C368:C371"/>
    <mergeCell ref="C372:C375"/>
    <mergeCell ref="C376:C379"/>
    <mergeCell ref="C380:C383"/>
    <mergeCell ref="C384:C387"/>
    <mergeCell ref="C388:C391"/>
    <mergeCell ref="C392:C405"/>
    <mergeCell ref="C406:C419"/>
    <mergeCell ref="C420:C433"/>
    <mergeCell ref="C434:C437"/>
    <mergeCell ref="C438:C441"/>
    <mergeCell ref="C442:C451"/>
    <mergeCell ref="C452:C455"/>
    <mergeCell ref="C456:C465"/>
    <mergeCell ref="C466:C469"/>
    <mergeCell ref="D2:D4"/>
    <mergeCell ref="D5:D7"/>
    <mergeCell ref="D8:D10"/>
    <mergeCell ref="D11:D13"/>
    <mergeCell ref="D36:D39"/>
    <mergeCell ref="D40:D43"/>
    <mergeCell ref="D352:D355"/>
    <mergeCell ref="D356:D359"/>
    <mergeCell ref="D360:D363"/>
    <mergeCell ref="D364:D367"/>
    <mergeCell ref="D368:D371"/>
    <mergeCell ref="D372:D375"/>
    <mergeCell ref="D376:D379"/>
    <mergeCell ref="D380:D383"/>
    <mergeCell ref="D384:D387"/>
    <mergeCell ref="D388:D391"/>
    <mergeCell ref="D434:D437"/>
    <mergeCell ref="D438:D441"/>
    <mergeCell ref="E2:E4"/>
    <mergeCell ref="E5:E7"/>
    <mergeCell ref="E8:E10"/>
    <mergeCell ref="E11:E13"/>
    <mergeCell ref="E36:E39"/>
    <mergeCell ref="E40:E43"/>
    <mergeCell ref="E44:E84"/>
    <mergeCell ref="E85:E87"/>
    <mergeCell ref="E88:E96"/>
    <mergeCell ref="E97:E114"/>
    <mergeCell ref="E115:E117"/>
    <mergeCell ref="E118:E126"/>
    <mergeCell ref="E127:E144"/>
    <mergeCell ref="E145:E149"/>
    <mergeCell ref="E150:E154"/>
    <mergeCell ref="E155:E159"/>
    <mergeCell ref="E160:E198"/>
    <mergeCell ref="E199:E237"/>
    <mergeCell ref="E238:E276"/>
    <mergeCell ref="E277:E315"/>
    <mergeCell ref="E316:E333"/>
    <mergeCell ref="E334:E351"/>
    <mergeCell ref="E352:E355"/>
    <mergeCell ref="E356:E359"/>
    <mergeCell ref="E360:E363"/>
    <mergeCell ref="E364:E367"/>
    <mergeCell ref="E368:E371"/>
    <mergeCell ref="E372:E375"/>
    <mergeCell ref="E376:E379"/>
    <mergeCell ref="E380:E383"/>
    <mergeCell ref="E384:E387"/>
    <mergeCell ref="E388:E391"/>
    <mergeCell ref="E392:E405"/>
    <mergeCell ref="E406:E419"/>
    <mergeCell ref="E420:E433"/>
    <mergeCell ref="E434:E437"/>
    <mergeCell ref="E438:E441"/>
    <mergeCell ref="E442:E451"/>
    <mergeCell ref="E452:E455"/>
    <mergeCell ref="E456:E465"/>
    <mergeCell ref="E466:E469"/>
    <mergeCell ref="F2:F4"/>
    <mergeCell ref="F5:F7"/>
    <mergeCell ref="F8:F10"/>
    <mergeCell ref="F11:F13"/>
    <mergeCell ref="F16:F17"/>
    <mergeCell ref="F20:F21"/>
    <mergeCell ref="F27:F28"/>
    <mergeCell ref="F31:F32"/>
    <mergeCell ref="F36:F39"/>
    <mergeCell ref="F40:F43"/>
    <mergeCell ref="F44:F84"/>
    <mergeCell ref="F85:F87"/>
    <mergeCell ref="F88:F96"/>
    <mergeCell ref="F97:F114"/>
    <mergeCell ref="F115:F117"/>
    <mergeCell ref="F118:F126"/>
    <mergeCell ref="F127:F144"/>
    <mergeCell ref="F145:F149"/>
    <mergeCell ref="F150:F154"/>
    <mergeCell ref="F155:F159"/>
    <mergeCell ref="F160:F198"/>
    <mergeCell ref="F199:F237"/>
    <mergeCell ref="F238:F276"/>
    <mergeCell ref="F277:F315"/>
    <mergeCell ref="F316:F333"/>
    <mergeCell ref="F334:F351"/>
    <mergeCell ref="F352:F355"/>
    <mergeCell ref="F356:F359"/>
    <mergeCell ref="F360:F363"/>
    <mergeCell ref="F364:F367"/>
    <mergeCell ref="F368:F371"/>
    <mergeCell ref="F372:F375"/>
    <mergeCell ref="F376:F379"/>
    <mergeCell ref="F380:F383"/>
    <mergeCell ref="F384:F387"/>
    <mergeCell ref="F388:F391"/>
    <mergeCell ref="F392:F405"/>
    <mergeCell ref="F406:F419"/>
    <mergeCell ref="F420:F433"/>
    <mergeCell ref="F434:F437"/>
    <mergeCell ref="F438:F441"/>
    <mergeCell ref="F442:F451"/>
    <mergeCell ref="F452:F455"/>
    <mergeCell ref="F456:F465"/>
    <mergeCell ref="F466:F469"/>
    <mergeCell ref="G2:G4"/>
    <mergeCell ref="G5:G7"/>
    <mergeCell ref="G8:G10"/>
    <mergeCell ref="G11:G13"/>
    <mergeCell ref="G14:G17"/>
    <mergeCell ref="G18:G21"/>
    <mergeCell ref="G22:G24"/>
    <mergeCell ref="G25:G28"/>
    <mergeCell ref="G29:G32"/>
    <mergeCell ref="G33:G35"/>
    <mergeCell ref="G36:G39"/>
    <mergeCell ref="G40:G43"/>
    <mergeCell ref="G44:G84"/>
    <mergeCell ref="G85:G87"/>
    <mergeCell ref="G88:G96"/>
    <mergeCell ref="G97:G114"/>
    <mergeCell ref="G115:G117"/>
    <mergeCell ref="G118:G126"/>
    <mergeCell ref="G127:G144"/>
    <mergeCell ref="G145:G149"/>
    <mergeCell ref="G150:G154"/>
    <mergeCell ref="G155:G159"/>
    <mergeCell ref="G160:G198"/>
    <mergeCell ref="G199:G237"/>
    <mergeCell ref="G238:G276"/>
    <mergeCell ref="G277:G315"/>
    <mergeCell ref="G316:G333"/>
    <mergeCell ref="G334:G351"/>
    <mergeCell ref="G352:G355"/>
    <mergeCell ref="G356:G359"/>
    <mergeCell ref="G360:G363"/>
    <mergeCell ref="G364:G367"/>
    <mergeCell ref="G368:G371"/>
    <mergeCell ref="G372:G375"/>
    <mergeCell ref="G376:G379"/>
    <mergeCell ref="G380:G383"/>
    <mergeCell ref="G384:G387"/>
    <mergeCell ref="G388:G391"/>
    <mergeCell ref="G392:G405"/>
    <mergeCell ref="G406:G419"/>
    <mergeCell ref="G420:G433"/>
    <mergeCell ref="G434:G437"/>
    <mergeCell ref="G438:G441"/>
    <mergeCell ref="G442:G451"/>
    <mergeCell ref="G452:G455"/>
    <mergeCell ref="G456:G465"/>
    <mergeCell ref="G466:G469"/>
    <mergeCell ref="H2:H4"/>
    <mergeCell ref="H5:H7"/>
    <mergeCell ref="H8:H10"/>
    <mergeCell ref="H11:H13"/>
    <mergeCell ref="H14:H17"/>
    <mergeCell ref="H18:H21"/>
    <mergeCell ref="H22:H24"/>
    <mergeCell ref="H25:H28"/>
    <mergeCell ref="H29:H32"/>
    <mergeCell ref="H33:H35"/>
    <mergeCell ref="H36:H39"/>
    <mergeCell ref="H40:H43"/>
    <mergeCell ref="H44:H84"/>
    <mergeCell ref="H85:H87"/>
    <mergeCell ref="H88:H96"/>
    <mergeCell ref="H97:H114"/>
    <mergeCell ref="H115:H117"/>
    <mergeCell ref="H118:H126"/>
    <mergeCell ref="H127:H144"/>
    <mergeCell ref="H145:H149"/>
    <mergeCell ref="H150:H154"/>
    <mergeCell ref="H155:H159"/>
    <mergeCell ref="H160:H198"/>
    <mergeCell ref="H199:H237"/>
    <mergeCell ref="H238:H276"/>
    <mergeCell ref="H277:H315"/>
    <mergeCell ref="H316:H333"/>
    <mergeCell ref="H334:H351"/>
    <mergeCell ref="H352:H355"/>
    <mergeCell ref="H356:H359"/>
    <mergeCell ref="H360:H363"/>
    <mergeCell ref="H364:H367"/>
    <mergeCell ref="H368:H371"/>
    <mergeCell ref="H372:H375"/>
    <mergeCell ref="H376:H379"/>
    <mergeCell ref="H380:H383"/>
    <mergeCell ref="H384:H387"/>
    <mergeCell ref="H388:H391"/>
    <mergeCell ref="H392:H405"/>
    <mergeCell ref="H406:H419"/>
    <mergeCell ref="H420:H433"/>
    <mergeCell ref="H434:H437"/>
    <mergeCell ref="H438:H441"/>
    <mergeCell ref="H442:H451"/>
    <mergeCell ref="H452:H455"/>
    <mergeCell ref="H456:H465"/>
    <mergeCell ref="H466:H469"/>
    <mergeCell ref="I2:I4"/>
    <mergeCell ref="I5:I7"/>
    <mergeCell ref="I8:I10"/>
    <mergeCell ref="I11:I13"/>
    <mergeCell ref="I14:I17"/>
    <mergeCell ref="I18:I21"/>
    <mergeCell ref="I22:I24"/>
    <mergeCell ref="I25:I28"/>
    <mergeCell ref="I29:I32"/>
    <mergeCell ref="I33:I35"/>
    <mergeCell ref="I36:I39"/>
    <mergeCell ref="I40:I43"/>
    <mergeCell ref="I44:I84"/>
    <mergeCell ref="I85:I87"/>
    <mergeCell ref="I88:I96"/>
    <mergeCell ref="I97:I114"/>
    <mergeCell ref="I115:I117"/>
    <mergeCell ref="I118:I126"/>
    <mergeCell ref="I127:I144"/>
    <mergeCell ref="I145:I149"/>
    <mergeCell ref="I150:I154"/>
    <mergeCell ref="I155:I159"/>
    <mergeCell ref="I160:I198"/>
    <mergeCell ref="I199:I237"/>
    <mergeCell ref="I238:I276"/>
    <mergeCell ref="I277:I315"/>
    <mergeCell ref="I316:I333"/>
    <mergeCell ref="I334:I351"/>
    <mergeCell ref="I352:I355"/>
    <mergeCell ref="I356:I359"/>
    <mergeCell ref="I360:I363"/>
    <mergeCell ref="I364:I367"/>
    <mergeCell ref="I368:I371"/>
    <mergeCell ref="I372:I375"/>
    <mergeCell ref="I376:I379"/>
    <mergeCell ref="I380:I383"/>
    <mergeCell ref="I384:I387"/>
    <mergeCell ref="I388:I391"/>
    <mergeCell ref="I392:I405"/>
    <mergeCell ref="I406:I419"/>
    <mergeCell ref="I420:I433"/>
    <mergeCell ref="I434:I437"/>
    <mergeCell ref="I438:I441"/>
    <mergeCell ref="I442:I451"/>
    <mergeCell ref="I452:I455"/>
    <mergeCell ref="I456:I465"/>
    <mergeCell ref="I466:I469"/>
    <mergeCell ref="J2:J4"/>
    <mergeCell ref="J5:J7"/>
    <mergeCell ref="J8:J10"/>
    <mergeCell ref="J11:J13"/>
    <mergeCell ref="J14:J17"/>
    <mergeCell ref="J18:J21"/>
    <mergeCell ref="J22:J24"/>
    <mergeCell ref="J25:J28"/>
    <mergeCell ref="J29:J32"/>
    <mergeCell ref="J33:J35"/>
    <mergeCell ref="J36:J39"/>
    <mergeCell ref="J40:J43"/>
    <mergeCell ref="J44:J84"/>
    <mergeCell ref="J85:J87"/>
    <mergeCell ref="J88:J96"/>
    <mergeCell ref="J97:J114"/>
    <mergeCell ref="J115:J117"/>
    <mergeCell ref="J118:J126"/>
    <mergeCell ref="J127:J144"/>
    <mergeCell ref="J145:J149"/>
    <mergeCell ref="J150:J154"/>
    <mergeCell ref="J155:J159"/>
    <mergeCell ref="J160:J198"/>
    <mergeCell ref="J199:J237"/>
    <mergeCell ref="J238:J276"/>
    <mergeCell ref="J277:J315"/>
    <mergeCell ref="J316:J333"/>
    <mergeCell ref="J334:J351"/>
    <mergeCell ref="J352:J355"/>
    <mergeCell ref="J356:J359"/>
    <mergeCell ref="J360:J363"/>
    <mergeCell ref="J364:J367"/>
    <mergeCell ref="J368:J371"/>
    <mergeCell ref="J372:J375"/>
    <mergeCell ref="J376:J379"/>
    <mergeCell ref="J380:J383"/>
    <mergeCell ref="J384:J387"/>
    <mergeCell ref="J388:J391"/>
    <mergeCell ref="J392:J405"/>
    <mergeCell ref="J406:J419"/>
    <mergeCell ref="J420:J433"/>
    <mergeCell ref="J434:J437"/>
    <mergeCell ref="J438:J441"/>
    <mergeCell ref="J442:J451"/>
    <mergeCell ref="J452:J455"/>
    <mergeCell ref="J456:J465"/>
    <mergeCell ref="J466:J469"/>
    <mergeCell ref="K2:K4"/>
    <mergeCell ref="K5:K7"/>
    <mergeCell ref="K8:K10"/>
    <mergeCell ref="K11:K13"/>
    <mergeCell ref="K14:K17"/>
    <mergeCell ref="K18:K21"/>
    <mergeCell ref="K22:K24"/>
    <mergeCell ref="K25:K28"/>
    <mergeCell ref="K29:K32"/>
    <mergeCell ref="K33:K35"/>
    <mergeCell ref="K36:K39"/>
    <mergeCell ref="K40:K43"/>
    <mergeCell ref="K44:K84"/>
    <mergeCell ref="K85:K87"/>
    <mergeCell ref="K88:K96"/>
    <mergeCell ref="K97:K114"/>
    <mergeCell ref="K115:K117"/>
    <mergeCell ref="K118:K126"/>
    <mergeCell ref="K127:K144"/>
    <mergeCell ref="K145:K149"/>
    <mergeCell ref="K150:K154"/>
    <mergeCell ref="K155:K159"/>
    <mergeCell ref="K160:K198"/>
    <mergeCell ref="K199:K237"/>
    <mergeCell ref="K238:K276"/>
    <mergeCell ref="K277:K315"/>
    <mergeCell ref="K316:K333"/>
    <mergeCell ref="K334:K351"/>
    <mergeCell ref="K352:K355"/>
    <mergeCell ref="K356:K359"/>
    <mergeCell ref="K360:K363"/>
    <mergeCell ref="K364:K367"/>
    <mergeCell ref="K368:K371"/>
    <mergeCell ref="K372:K375"/>
    <mergeCell ref="K376:K379"/>
    <mergeCell ref="K380:K383"/>
    <mergeCell ref="K384:K387"/>
    <mergeCell ref="K388:K391"/>
    <mergeCell ref="K392:K405"/>
    <mergeCell ref="K406:K419"/>
    <mergeCell ref="K420:K433"/>
    <mergeCell ref="K434:K437"/>
    <mergeCell ref="K438:K441"/>
    <mergeCell ref="K442:K451"/>
    <mergeCell ref="K452:K455"/>
    <mergeCell ref="K456:K465"/>
    <mergeCell ref="K466:K469"/>
    <mergeCell ref="O2:O4"/>
    <mergeCell ref="O5:O7"/>
    <mergeCell ref="O8:O10"/>
    <mergeCell ref="O11:O13"/>
    <mergeCell ref="O14:O17"/>
    <mergeCell ref="O18:O21"/>
    <mergeCell ref="O22:O24"/>
    <mergeCell ref="O25:O28"/>
    <mergeCell ref="O29:O32"/>
    <mergeCell ref="O33:O35"/>
    <mergeCell ref="O36:O39"/>
    <mergeCell ref="O40:O43"/>
    <mergeCell ref="O44:O84"/>
    <mergeCell ref="O85:O87"/>
    <mergeCell ref="O88:O96"/>
    <mergeCell ref="O97:O114"/>
    <mergeCell ref="O115:O117"/>
    <mergeCell ref="O118:O126"/>
    <mergeCell ref="O127:O144"/>
    <mergeCell ref="O145:O149"/>
    <mergeCell ref="O150:O154"/>
    <mergeCell ref="O155:O159"/>
    <mergeCell ref="O160:O198"/>
    <mergeCell ref="O199:O237"/>
    <mergeCell ref="O238:O276"/>
    <mergeCell ref="O277:O315"/>
    <mergeCell ref="O316:O333"/>
    <mergeCell ref="O334:O351"/>
    <mergeCell ref="O352:O355"/>
    <mergeCell ref="O356:O359"/>
    <mergeCell ref="O360:O363"/>
    <mergeCell ref="O364:O367"/>
    <mergeCell ref="O368:O371"/>
    <mergeCell ref="O372:O375"/>
    <mergeCell ref="O376:O379"/>
    <mergeCell ref="O380:O383"/>
    <mergeCell ref="O384:O387"/>
    <mergeCell ref="O388:O391"/>
    <mergeCell ref="O392:O405"/>
    <mergeCell ref="O406:O419"/>
    <mergeCell ref="O420:O433"/>
    <mergeCell ref="O434:O437"/>
    <mergeCell ref="O438:O441"/>
    <mergeCell ref="O442:O451"/>
    <mergeCell ref="O452:O455"/>
    <mergeCell ref="O456:O465"/>
    <mergeCell ref="O466:O469"/>
    <mergeCell ref="P14:P17"/>
    <mergeCell ref="P18:P21"/>
    <mergeCell ref="P22:P24"/>
    <mergeCell ref="P25:P28"/>
    <mergeCell ref="P29:P32"/>
    <mergeCell ref="P33:P35"/>
    <mergeCell ref="P36:P39"/>
    <mergeCell ref="P40:P43"/>
    <mergeCell ref="P44:P84"/>
    <mergeCell ref="P85:P87"/>
    <mergeCell ref="P88:P96"/>
    <mergeCell ref="P97:P114"/>
    <mergeCell ref="P115:P117"/>
    <mergeCell ref="P118:P126"/>
    <mergeCell ref="P127:P144"/>
    <mergeCell ref="P145:P149"/>
    <mergeCell ref="P150:P154"/>
    <mergeCell ref="P155:P159"/>
    <mergeCell ref="P160:P198"/>
    <mergeCell ref="P199:P237"/>
    <mergeCell ref="P238:P276"/>
    <mergeCell ref="P277:P315"/>
    <mergeCell ref="P316:P333"/>
    <mergeCell ref="P334:P351"/>
    <mergeCell ref="P368:P371"/>
    <mergeCell ref="P372:P375"/>
    <mergeCell ref="P376:P379"/>
    <mergeCell ref="P380:P383"/>
    <mergeCell ref="P384:P387"/>
    <mergeCell ref="P388:P391"/>
    <mergeCell ref="P392:P405"/>
    <mergeCell ref="P406:P419"/>
    <mergeCell ref="P420:P433"/>
    <mergeCell ref="P442:P451"/>
    <mergeCell ref="P452:P455"/>
    <mergeCell ref="P456:P465"/>
    <mergeCell ref="P466:P469"/>
    <mergeCell ref="R2:R4"/>
    <mergeCell ref="R5:R7"/>
    <mergeCell ref="R8:R10"/>
    <mergeCell ref="R11:R13"/>
    <mergeCell ref="R14:R17"/>
    <mergeCell ref="R18:R21"/>
    <mergeCell ref="R22:R24"/>
    <mergeCell ref="R25:R28"/>
    <mergeCell ref="R29:R32"/>
    <mergeCell ref="R33:R35"/>
    <mergeCell ref="R36:R39"/>
    <mergeCell ref="R40:R43"/>
    <mergeCell ref="R44:R84"/>
    <mergeCell ref="R85:R87"/>
    <mergeCell ref="R88:R96"/>
    <mergeCell ref="R97:R114"/>
    <mergeCell ref="R115:R117"/>
    <mergeCell ref="R118:R126"/>
    <mergeCell ref="R127:R144"/>
    <mergeCell ref="R145:R149"/>
    <mergeCell ref="R150:R154"/>
    <mergeCell ref="R155:R159"/>
    <mergeCell ref="R160:R198"/>
    <mergeCell ref="R199:R237"/>
    <mergeCell ref="R238:R276"/>
    <mergeCell ref="R277:R315"/>
    <mergeCell ref="R316:R333"/>
    <mergeCell ref="R334:R351"/>
    <mergeCell ref="R352:R355"/>
    <mergeCell ref="R356:R359"/>
    <mergeCell ref="R360:R363"/>
    <mergeCell ref="R364:R367"/>
    <mergeCell ref="R368:R371"/>
    <mergeCell ref="R372:R375"/>
    <mergeCell ref="R376:R379"/>
    <mergeCell ref="R380:R383"/>
    <mergeCell ref="R384:R387"/>
    <mergeCell ref="R388:R391"/>
    <mergeCell ref="R392:R405"/>
    <mergeCell ref="R406:R419"/>
    <mergeCell ref="R420:R433"/>
    <mergeCell ref="R434:R437"/>
    <mergeCell ref="R438:R441"/>
    <mergeCell ref="R442:R451"/>
    <mergeCell ref="R452:R455"/>
    <mergeCell ref="R456:R465"/>
    <mergeCell ref="R466:R469"/>
    <mergeCell ref="S36:S39"/>
    <mergeCell ref="S40:S43"/>
    <mergeCell ref="S44:S84"/>
    <mergeCell ref="S97:S114"/>
    <mergeCell ref="S127:S144"/>
  </mergeCells>
  <dataValidations count="1">
    <dataValidation type="list" allowBlank="1" showInputMessage="1" showErrorMessage="1" sqref="G2:G1048576">
      <formula1>"单播,多播"</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4"/>
  <sheetViews>
    <sheetView zoomScale="70" zoomScaleNormal="70" workbookViewId="0">
      <pane ySplit="1" topLeftCell="A14" activePane="bottomLeft" state="frozen"/>
      <selection/>
      <selection pane="bottomLeft" activeCell="L2" sqref="L2:L4"/>
    </sheetView>
  </sheetViews>
  <sheetFormatPr defaultColWidth="9.02777777777778" defaultRowHeight="14.4"/>
  <cols>
    <col min="1" max="1" width="14.537037037037" customWidth="1"/>
    <col min="2" max="2" width="16.9351851851852" customWidth="1"/>
    <col min="3" max="3" width="27.6851851851852" customWidth="1"/>
    <col min="4" max="4" width="18.5185185185185" customWidth="1"/>
    <col min="6" max="6" width="25.4351851851852" customWidth="1"/>
    <col min="7" max="7" width="25.1018518518519" customWidth="1"/>
    <col min="12" max="12" width="28.8796296296296" style="1" customWidth="1"/>
    <col min="14" max="14" width="23.5648148148148" style="30" customWidth="1"/>
  </cols>
  <sheetData>
    <row r="1" s="29" customFormat="1" ht="28.8" spans="1:14">
      <c r="A1" s="34" t="s">
        <v>0</v>
      </c>
      <c r="B1" s="34" t="s">
        <v>1</v>
      </c>
      <c r="C1" s="34" t="s">
        <v>2</v>
      </c>
      <c r="D1" s="34" t="s">
        <v>3</v>
      </c>
      <c r="E1" s="35" t="s">
        <v>4</v>
      </c>
      <c r="F1" s="34" t="s">
        <v>5</v>
      </c>
      <c r="G1" s="34" t="s">
        <v>6</v>
      </c>
      <c r="H1" s="34" t="s">
        <v>7</v>
      </c>
      <c r="I1" s="36" t="s">
        <v>8</v>
      </c>
      <c r="J1" s="37" t="s">
        <v>9</v>
      </c>
      <c r="K1" s="36" t="s">
        <v>10</v>
      </c>
      <c r="L1" s="37" t="s">
        <v>11</v>
      </c>
      <c r="M1" s="35" t="s">
        <v>12</v>
      </c>
      <c r="N1" s="35" t="s">
        <v>1541</v>
      </c>
    </row>
    <row r="2" s="30" customFormat="1" spans="1:14">
      <c r="A2" s="38" t="s">
        <v>1542</v>
      </c>
      <c r="B2" s="38" t="s">
        <v>1543</v>
      </c>
      <c r="C2" s="38" t="s">
        <v>1544</v>
      </c>
      <c r="D2" s="38" t="s">
        <v>1545</v>
      </c>
      <c r="E2" s="38">
        <v>9901</v>
      </c>
      <c r="F2" s="38" t="s">
        <v>1546</v>
      </c>
      <c r="G2" s="39" t="s">
        <v>18</v>
      </c>
      <c r="H2" s="38">
        <v>0</v>
      </c>
      <c r="I2" s="40">
        <v>4</v>
      </c>
      <c r="J2" s="40"/>
      <c r="K2" s="41" t="s">
        <v>1547</v>
      </c>
      <c r="L2" s="42" t="s">
        <v>1548</v>
      </c>
      <c r="M2" s="38"/>
      <c r="N2" s="38" t="s">
        <v>1549</v>
      </c>
    </row>
    <row r="3" s="30" customFormat="1" spans="1:14">
      <c r="A3" s="38"/>
      <c r="B3" s="38"/>
      <c r="C3" s="38"/>
      <c r="D3" s="38"/>
      <c r="E3" s="38"/>
      <c r="F3" s="38"/>
      <c r="G3" s="39" t="s">
        <v>20</v>
      </c>
      <c r="H3" s="38">
        <v>4</v>
      </c>
      <c r="I3" s="40">
        <v>4</v>
      </c>
      <c r="J3" s="40"/>
      <c r="K3" s="43"/>
      <c r="L3" s="44"/>
      <c r="M3" s="38"/>
      <c r="N3" s="38"/>
    </row>
    <row r="4" s="30" customFormat="1" spans="1:14">
      <c r="A4" s="38"/>
      <c r="B4" s="38"/>
      <c r="C4" s="38"/>
      <c r="D4" s="38"/>
      <c r="E4" s="38"/>
      <c r="F4" s="38"/>
      <c r="G4" s="38" t="s">
        <v>1550</v>
      </c>
      <c r="H4" s="38">
        <v>8</v>
      </c>
      <c r="I4" s="45">
        <v>4</v>
      </c>
      <c r="J4" s="40"/>
      <c r="K4" s="46"/>
      <c r="L4" s="47"/>
      <c r="M4" s="38"/>
      <c r="N4" s="38"/>
    </row>
    <row r="5" s="30" customFormat="1" spans="1:14">
      <c r="A5" s="38" t="s">
        <v>1551</v>
      </c>
      <c r="B5" s="38" t="s">
        <v>1552</v>
      </c>
      <c r="C5" s="38" t="s">
        <v>1544</v>
      </c>
      <c r="D5" s="38" t="s">
        <v>1545</v>
      </c>
      <c r="E5" s="38">
        <v>9902</v>
      </c>
      <c r="F5" s="38" t="s">
        <v>1546</v>
      </c>
      <c r="G5" s="39" t="s">
        <v>18</v>
      </c>
      <c r="H5" s="38">
        <v>0</v>
      </c>
      <c r="I5" s="40">
        <v>4</v>
      </c>
      <c r="J5" s="40"/>
      <c r="K5" s="41" t="s">
        <v>1553</v>
      </c>
      <c r="L5" s="42" t="s">
        <v>1554</v>
      </c>
      <c r="M5" s="38"/>
      <c r="N5" s="38" t="s">
        <v>1549</v>
      </c>
    </row>
    <row r="6" s="30" customFormat="1" spans="1:14">
      <c r="A6" s="38"/>
      <c r="B6" s="38"/>
      <c r="C6" s="38"/>
      <c r="D6" s="38"/>
      <c r="E6" s="38"/>
      <c r="F6" s="38"/>
      <c r="G6" s="39" t="s">
        <v>20</v>
      </c>
      <c r="H6" s="38">
        <v>4</v>
      </c>
      <c r="I6" s="40">
        <v>4</v>
      </c>
      <c r="J6" s="40"/>
      <c r="K6" s="43"/>
      <c r="L6" s="44"/>
      <c r="M6" s="38"/>
      <c r="N6" s="38"/>
    </row>
    <row r="7" s="30" customFormat="1" spans="1:14">
      <c r="A7" s="38"/>
      <c r="B7" s="38"/>
      <c r="C7" s="38"/>
      <c r="D7" s="38"/>
      <c r="E7" s="38"/>
      <c r="F7" s="38"/>
      <c r="G7" s="38" t="s">
        <v>1550</v>
      </c>
      <c r="H7" s="38">
        <v>8</v>
      </c>
      <c r="I7" s="45">
        <v>64</v>
      </c>
      <c r="J7" s="40"/>
      <c r="K7" s="46"/>
      <c r="L7" s="47"/>
      <c r="M7" s="38"/>
      <c r="N7" s="38"/>
    </row>
    <row r="8" s="30" customFormat="1" spans="1:14">
      <c r="A8" s="38" t="s">
        <v>1555</v>
      </c>
      <c r="B8" s="38" t="s">
        <v>1556</v>
      </c>
      <c r="C8" s="38" t="s">
        <v>1544</v>
      </c>
      <c r="D8" s="38" t="s">
        <v>1545</v>
      </c>
      <c r="E8" s="38">
        <v>9903</v>
      </c>
      <c r="F8" s="38" t="s">
        <v>1546</v>
      </c>
      <c r="G8" s="39" t="s">
        <v>18</v>
      </c>
      <c r="H8" s="38">
        <v>0</v>
      </c>
      <c r="I8" s="40">
        <v>4</v>
      </c>
      <c r="J8" s="40"/>
      <c r="K8" s="41" t="s">
        <v>1553</v>
      </c>
      <c r="L8" s="42" t="s">
        <v>1557</v>
      </c>
      <c r="M8" s="38"/>
      <c r="N8" s="38" t="s">
        <v>1549</v>
      </c>
    </row>
    <row r="9" s="30" customFormat="1" spans="1:14">
      <c r="A9" s="38"/>
      <c r="B9" s="38"/>
      <c r="C9" s="38"/>
      <c r="D9" s="38"/>
      <c r="E9" s="38"/>
      <c r="F9" s="38"/>
      <c r="G9" s="39" t="s">
        <v>20</v>
      </c>
      <c r="H9" s="38">
        <v>4</v>
      </c>
      <c r="I9" s="40">
        <v>4</v>
      </c>
      <c r="J9" s="40"/>
      <c r="K9" s="43"/>
      <c r="L9" s="44"/>
      <c r="M9" s="38"/>
      <c r="N9" s="38"/>
    </row>
    <row r="10" s="30" customFormat="1" spans="1:14">
      <c r="A10" s="38"/>
      <c r="B10" s="38"/>
      <c r="C10" s="38"/>
      <c r="D10" s="38"/>
      <c r="E10" s="38"/>
      <c r="F10" s="38"/>
      <c r="G10" s="38" t="s">
        <v>1550</v>
      </c>
      <c r="H10" s="38">
        <v>8</v>
      </c>
      <c r="I10" s="45">
        <v>12</v>
      </c>
      <c r="J10" s="40"/>
      <c r="K10" s="46"/>
      <c r="L10" s="47"/>
      <c r="M10" s="38"/>
      <c r="N10" s="38"/>
    </row>
    <row r="11" s="30" customFormat="1" spans="1:14">
      <c r="A11" s="38" t="s">
        <v>1558</v>
      </c>
      <c r="B11" s="38" t="s">
        <v>1559</v>
      </c>
      <c r="C11" s="38" t="s">
        <v>1544</v>
      </c>
      <c r="D11" s="38" t="s">
        <v>1545</v>
      </c>
      <c r="E11" s="38">
        <v>9904</v>
      </c>
      <c r="F11" s="38" t="s">
        <v>1560</v>
      </c>
      <c r="G11" s="39" t="s">
        <v>18</v>
      </c>
      <c r="H11" s="38">
        <v>0</v>
      </c>
      <c r="I11" s="40">
        <v>4</v>
      </c>
      <c r="J11" s="40"/>
      <c r="K11" s="41" t="s">
        <v>1561</v>
      </c>
      <c r="L11" s="42" t="s">
        <v>1562</v>
      </c>
      <c r="M11" s="38"/>
      <c r="N11" s="38" t="s">
        <v>1563</v>
      </c>
    </row>
    <row r="12" s="30" customFormat="1" spans="1:14">
      <c r="A12" s="38"/>
      <c r="B12" s="38"/>
      <c r="C12" s="38"/>
      <c r="D12" s="38"/>
      <c r="E12" s="38"/>
      <c r="F12" s="38"/>
      <c r="G12" s="39" t="s">
        <v>20</v>
      </c>
      <c r="H12" s="38">
        <v>4</v>
      </c>
      <c r="I12" s="40">
        <v>4</v>
      </c>
      <c r="J12" s="40"/>
      <c r="K12" s="43"/>
      <c r="L12" s="44"/>
      <c r="M12" s="38"/>
      <c r="N12" s="38"/>
    </row>
    <row r="13" s="30" customFormat="1" spans="1:14">
      <c r="A13" s="38"/>
      <c r="B13" s="38"/>
      <c r="C13" s="38"/>
      <c r="D13" s="38"/>
      <c r="E13" s="38"/>
      <c r="F13" s="38"/>
      <c r="G13" s="38" t="s">
        <v>1550</v>
      </c>
      <c r="H13" s="38">
        <v>8</v>
      </c>
      <c r="I13" s="45">
        <v>8</v>
      </c>
      <c r="J13" s="40"/>
      <c r="K13" s="46"/>
      <c r="L13" s="47"/>
      <c r="M13" s="38"/>
      <c r="N13" s="38"/>
    </row>
    <row r="14" s="30" customFormat="1" spans="1:14">
      <c r="A14" s="38" t="s">
        <v>1564</v>
      </c>
      <c r="B14" s="38" t="s">
        <v>1565</v>
      </c>
      <c r="C14" s="38" t="s">
        <v>1544</v>
      </c>
      <c r="D14" s="38" t="s">
        <v>1545</v>
      </c>
      <c r="E14" s="38">
        <v>9905</v>
      </c>
      <c r="F14" s="38" t="s">
        <v>1560</v>
      </c>
      <c r="G14" s="39" t="s">
        <v>18</v>
      </c>
      <c r="H14" s="38">
        <v>0</v>
      </c>
      <c r="I14" s="40">
        <v>4</v>
      </c>
      <c r="J14" s="40"/>
      <c r="K14" s="41" t="s">
        <v>1561</v>
      </c>
      <c r="L14" s="42" t="s">
        <v>1566</v>
      </c>
      <c r="M14" s="38"/>
      <c r="N14" s="38" t="s">
        <v>1563</v>
      </c>
    </row>
    <row r="15" s="30" customFormat="1" spans="1:14">
      <c r="A15" s="38"/>
      <c r="B15" s="38"/>
      <c r="C15" s="38"/>
      <c r="D15" s="38"/>
      <c r="E15" s="38"/>
      <c r="F15" s="38"/>
      <c r="G15" s="39" t="s">
        <v>20</v>
      </c>
      <c r="H15" s="38">
        <v>4</v>
      </c>
      <c r="I15" s="40">
        <v>4</v>
      </c>
      <c r="J15" s="40"/>
      <c r="K15" s="43"/>
      <c r="L15" s="44"/>
      <c r="M15" s="38"/>
      <c r="N15" s="38"/>
    </row>
    <row r="16" s="30" customFormat="1" spans="1:14">
      <c r="A16" s="38"/>
      <c r="B16" s="38"/>
      <c r="C16" s="38"/>
      <c r="D16" s="38"/>
      <c r="E16" s="38"/>
      <c r="F16" s="38"/>
      <c r="G16" s="38" t="s">
        <v>1550</v>
      </c>
      <c r="H16" s="38">
        <v>8</v>
      </c>
      <c r="I16" s="45">
        <v>32</v>
      </c>
      <c r="J16" s="40"/>
      <c r="K16" s="46"/>
      <c r="L16" s="47"/>
      <c r="M16" s="38"/>
      <c r="N16" s="38"/>
    </row>
    <row r="17" s="30" customFormat="1" spans="1:14">
      <c r="A17" s="38" t="s">
        <v>1567</v>
      </c>
      <c r="B17" s="38" t="s">
        <v>1568</v>
      </c>
      <c r="C17" s="38" t="s">
        <v>1544</v>
      </c>
      <c r="D17" s="38" t="s">
        <v>1545</v>
      </c>
      <c r="E17" s="38">
        <v>9906</v>
      </c>
      <c r="F17" s="38" t="s">
        <v>1560</v>
      </c>
      <c r="G17" s="39" t="s">
        <v>18</v>
      </c>
      <c r="H17" s="38">
        <v>0</v>
      </c>
      <c r="I17" s="40">
        <v>4</v>
      </c>
      <c r="J17" s="40"/>
      <c r="K17" s="41" t="s">
        <v>1561</v>
      </c>
      <c r="L17" s="42" t="s">
        <v>1569</v>
      </c>
      <c r="M17" s="38"/>
      <c r="N17" s="38" t="s">
        <v>1563</v>
      </c>
    </row>
    <row r="18" s="30" customFormat="1" spans="1:14">
      <c r="A18" s="38"/>
      <c r="B18" s="38"/>
      <c r="C18" s="38"/>
      <c r="D18" s="38"/>
      <c r="E18" s="38"/>
      <c r="F18" s="38"/>
      <c r="G18" s="39" t="s">
        <v>20</v>
      </c>
      <c r="H18" s="38">
        <v>4</v>
      </c>
      <c r="I18" s="40">
        <v>4</v>
      </c>
      <c r="J18" s="40"/>
      <c r="K18" s="43"/>
      <c r="L18" s="44"/>
      <c r="M18" s="38"/>
      <c r="N18" s="38"/>
    </row>
    <row r="19" s="30" customFormat="1" spans="1:14">
      <c r="A19" s="38"/>
      <c r="B19" s="38"/>
      <c r="C19" s="38"/>
      <c r="D19" s="38"/>
      <c r="E19" s="38"/>
      <c r="F19" s="38"/>
      <c r="G19" s="38" t="s">
        <v>1550</v>
      </c>
      <c r="H19" s="38">
        <v>8</v>
      </c>
      <c r="I19" s="45">
        <v>32</v>
      </c>
      <c r="J19" s="40"/>
      <c r="K19" s="46"/>
      <c r="L19" s="47"/>
      <c r="M19" s="38"/>
      <c r="N19" s="38"/>
    </row>
    <row r="20" s="30" customFormat="1" spans="1:14">
      <c r="A20" s="38" t="s">
        <v>1570</v>
      </c>
      <c r="B20" s="38" t="s">
        <v>1571</v>
      </c>
      <c r="C20" s="38" t="s">
        <v>1544</v>
      </c>
      <c r="D20" s="38" t="s">
        <v>1545</v>
      </c>
      <c r="E20" s="38">
        <v>9907</v>
      </c>
      <c r="F20" s="38" t="s">
        <v>1546</v>
      </c>
      <c r="G20" s="39" t="s">
        <v>18</v>
      </c>
      <c r="H20" s="38">
        <v>0</v>
      </c>
      <c r="I20" s="40">
        <v>4</v>
      </c>
      <c r="J20" s="40"/>
      <c r="K20" s="41" t="s">
        <v>1572</v>
      </c>
      <c r="L20" s="42" t="s">
        <v>1573</v>
      </c>
      <c r="M20" s="38"/>
      <c r="N20" s="38" t="s">
        <v>1549</v>
      </c>
    </row>
    <row r="21" s="30" customFormat="1" spans="1:14">
      <c r="A21" s="38"/>
      <c r="B21" s="38"/>
      <c r="C21" s="38"/>
      <c r="D21" s="38"/>
      <c r="E21" s="38"/>
      <c r="F21" s="38"/>
      <c r="G21" s="39" t="s">
        <v>20</v>
      </c>
      <c r="H21" s="38">
        <v>4</v>
      </c>
      <c r="I21" s="45">
        <v>8</v>
      </c>
      <c r="J21" s="40"/>
      <c r="K21" s="43"/>
      <c r="L21" s="44"/>
      <c r="M21" s="38"/>
      <c r="N21" s="38"/>
    </row>
    <row r="22" s="30" customFormat="1" spans="1:14">
      <c r="A22" s="38"/>
      <c r="B22" s="38"/>
      <c r="C22" s="38"/>
      <c r="D22" s="38"/>
      <c r="E22" s="38"/>
      <c r="F22" s="38"/>
      <c r="G22" s="38" t="s">
        <v>1550</v>
      </c>
      <c r="H22" s="38">
        <v>8</v>
      </c>
      <c r="I22" s="48">
        <v>12</v>
      </c>
      <c r="J22" s="40"/>
      <c r="K22" s="46"/>
      <c r="L22" s="47"/>
      <c r="M22" s="38"/>
      <c r="N22" s="38"/>
    </row>
    <row r="23" s="30" customFormat="1" spans="1:14">
      <c r="A23" s="38" t="s">
        <v>1574</v>
      </c>
      <c r="B23" s="49" t="s">
        <v>1575</v>
      </c>
      <c r="C23" s="49" t="s">
        <v>1544</v>
      </c>
      <c r="D23" s="49" t="s">
        <v>1545</v>
      </c>
      <c r="E23" s="49">
        <v>9908</v>
      </c>
      <c r="F23" s="49" t="s">
        <v>1546</v>
      </c>
      <c r="G23" s="50" t="s">
        <v>18</v>
      </c>
      <c r="H23" s="49">
        <v>0</v>
      </c>
      <c r="I23" s="51">
        <v>4</v>
      </c>
      <c r="J23" s="51"/>
      <c r="K23" s="52" t="s">
        <v>1561</v>
      </c>
      <c r="L23" s="53" t="s">
        <v>1576</v>
      </c>
      <c r="M23" s="49"/>
      <c r="N23" s="49" t="s">
        <v>1549</v>
      </c>
    </row>
    <row r="24" s="30" customFormat="1" spans="1:14">
      <c r="A24" s="38"/>
      <c r="B24" s="49"/>
      <c r="C24" s="49"/>
      <c r="D24" s="49"/>
      <c r="E24" s="49"/>
      <c r="F24" s="49"/>
      <c r="G24" s="50" t="s">
        <v>20</v>
      </c>
      <c r="H24" s="49">
        <v>4</v>
      </c>
      <c r="I24" s="51">
        <v>4</v>
      </c>
      <c r="J24" s="51"/>
      <c r="K24" s="54"/>
      <c r="L24" s="55"/>
      <c r="M24" s="49"/>
      <c r="N24" s="49"/>
    </row>
    <row r="25" s="30" customFormat="1" spans="1:14">
      <c r="A25" s="38"/>
      <c r="B25" s="49"/>
      <c r="C25" s="49"/>
      <c r="D25" s="49"/>
      <c r="E25" s="49"/>
      <c r="F25" s="49"/>
      <c r="G25" s="49" t="s">
        <v>1550</v>
      </c>
      <c r="H25" s="49">
        <v>8</v>
      </c>
      <c r="I25" s="56">
        <v>4</v>
      </c>
      <c r="J25" s="51"/>
      <c r="K25" s="57"/>
      <c r="L25" s="58"/>
      <c r="M25" s="49"/>
      <c r="N25" s="49"/>
    </row>
    <row r="26" s="30" customFormat="1" spans="1:14">
      <c r="A26" s="38" t="s">
        <v>1577</v>
      </c>
      <c r="B26" s="49" t="s">
        <v>1578</v>
      </c>
      <c r="C26" s="49" t="s">
        <v>1544</v>
      </c>
      <c r="D26" s="49" t="s">
        <v>1545</v>
      </c>
      <c r="E26" s="49">
        <v>9909</v>
      </c>
      <c r="F26" s="49" t="s">
        <v>1546</v>
      </c>
      <c r="G26" s="50" t="s">
        <v>18</v>
      </c>
      <c r="H26" s="49">
        <v>0</v>
      </c>
      <c r="I26" s="51">
        <v>4</v>
      </c>
      <c r="J26" s="51"/>
      <c r="K26" s="52" t="s">
        <v>1561</v>
      </c>
      <c r="L26" s="53" t="s">
        <v>1579</v>
      </c>
      <c r="M26" s="49"/>
      <c r="N26" s="49" t="s">
        <v>1549</v>
      </c>
    </row>
    <row r="27" s="30" customFormat="1" spans="1:14">
      <c r="A27" s="38"/>
      <c r="B27" s="49"/>
      <c r="C27" s="49"/>
      <c r="D27" s="49"/>
      <c r="E27" s="49"/>
      <c r="F27" s="49"/>
      <c r="G27" s="50" t="s">
        <v>20</v>
      </c>
      <c r="H27" s="49">
        <v>4</v>
      </c>
      <c r="I27" s="51">
        <v>4</v>
      </c>
      <c r="J27" s="51"/>
      <c r="K27" s="54"/>
      <c r="L27" s="55"/>
      <c r="M27" s="49"/>
      <c r="N27" s="49"/>
    </row>
    <row r="28" s="30" customFormat="1" spans="1:14">
      <c r="A28" s="38"/>
      <c r="B28" s="49"/>
      <c r="C28" s="49"/>
      <c r="D28" s="49"/>
      <c r="E28" s="49"/>
      <c r="F28" s="49"/>
      <c r="G28" s="49" t="s">
        <v>1550</v>
      </c>
      <c r="H28" s="49">
        <v>8</v>
      </c>
      <c r="I28" s="56">
        <v>44</v>
      </c>
      <c r="J28" s="51"/>
      <c r="K28" s="57"/>
      <c r="L28" s="58"/>
      <c r="M28" s="49"/>
      <c r="N28" s="49"/>
    </row>
    <row r="29" s="30" customFormat="1" spans="1:14">
      <c r="A29" s="38" t="s">
        <v>1580</v>
      </c>
      <c r="B29" s="49" t="s">
        <v>1581</v>
      </c>
      <c r="C29" s="49" t="s">
        <v>1544</v>
      </c>
      <c r="D29" s="49" t="s">
        <v>1545</v>
      </c>
      <c r="E29" s="49">
        <v>9910</v>
      </c>
      <c r="F29" s="49" t="s">
        <v>1560</v>
      </c>
      <c r="G29" s="50" t="s">
        <v>18</v>
      </c>
      <c r="H29" s="49">
        <v>0</v>
      </c>
      <c r="I29" s="51">
        <v>4</v>
      </c>
      <c r="J29" s="51"/>
      <c r="K29" s="52" t="s">
        <v>1561</v>
      </c>
      <c r="L29" s="53" t="s">
        <v>1582</v>
      </c>
      <c r="M29" s="49"/>
      <c r="N29" s="49" t="s">
        <v>1563</v>
      </c>
    </row>
    <row r="30" s="30" customFormat="1" spans="1:14">
      <c r="A30" s="38"/>
      <c r="B30" s="49"/>
      <c r="C30" s="49"/>
      <c r="D30" s="49"/>
      <c r="E30" s="49"/>
      <c r="F30" s="49"/>
      <c r="G30" s="50" t="s">
        <v>20</v>
      </c>
      <c r="H30" s="49">
        <v>4</v>
      </c>
      <c r="I30" s="51">
        <v>4</v>
      </c>
      <c r="J30" s="51"/>
      <c r="K30" s="54"/>
      <c r="L30" s="55"/>
      <c r="M30" s="49"/>
      <c r="N30" s="49"/>
    </row>
    <row r="31" s="30" customFormat="1" spans="1:14">
      <c r="A31" s="38"/>
      <c r="B31" s="49"/>
      <c r="C31" s="49"/>
      <c r="D31" s="49"/>
      <c r="E31" s="49"/>
      <c r="F31" s="49"/>
      <c r="G31" s="49" t="s">
        <v>1550</v>
      </c>
      <c r="H31" s="49">
        <v>8</v>
      </c>
      <c r="I31" s="56">
        <v>4</v>
      </c>
      <c r="J31" s="51"/>
      <c r="K31" s="57"/>
      <c r="L31" s="58"/>
      <c r="M31" s="49"/>
      <c r="N31" s="49"/>
    </row>
    <row r="32" s="30" customFormat="1" spans="1:14">
      <c r="A32" s="38" t="s">
        <v>1583</v>
      </c>
      <c r="B32" s="49" t="s">
        <v>1584</v>
      </c>
      <c r="C32" s="49" t="s">
        <v>1544</v>
      </c>
      <c r="D32" s="49" t="s">
        <v>1545</v>
      </c>
      <c r="E32" s="49">
        <v>9911</v>
      </c>
      <c r="F32" s="49" t="s">
        <v>1560</v>
      </c>
      <c r="G32" s="50" t="s">
        <v>18</v>
      </c>
      <c r="H32" s="49">
        <v>0</v>
      </c>
      <c r="I32" s="51">
        <v>4</v>
      </c>
      <c r="J32" s="51"/>
      <c r="K32" s="52" t="s">
        <v>1561</v>
      </c>
      <c r="L32" s="53" t="s">
        <v>1585</v>
      </c>
      <c r="M32" s="49"/>
      <c r="N32" s="49" t="s">
        <v>1563</v>
      </c>
    </row>
    <row r="33" s="30" customFormat="1" spans="1:14">
      <c r="A33" s="38"/>
      <c r="B33" s="49"/>
      <c r="C33" s="49"/>
      <c r="D33" s="49"/>
      <c r="E33" s="49"/>
      <c r="F33" s="49"/>
      <c r="G33" s="50" t="s">
        <v>20</v>
      </c>
      <c r="H33" s="49">
        <v>4</v>
      </c>
      <c r="I33" s="51">
        <v>4</v>
      </c>
      <c r="J33" s="51"/>
      <c r="K33" s="54"/>
      <c r="L33" s="55"/>
      <c r="M33" s="49"/>
      <c r="N33" s="49"/>
    </row>
    <row r="34" s="30" customFormat="1" spans="1:14">
      <c r="A34" s="38"/>
      <c r="B34" s="49"/>
      <c r="C34" s="49"/>
      <c r="D34" s="49"/>
      <c r="E34" s="49"/>
      <c r="F34" s="49"/>
      <c r="G34" s="49" t="s">
        <v>1550</v>
      </c>
      <c r="H34" s="49">
        <v>8</v>
      </c>
      <c r="I34" s="56">
        <v>44</v>
      </c>
      <c r="J34" s="51"/>
      <c r="K34" s="57"/>
      <c r="L34" s="58"/>
      <c r="M34" s="49"/>
      <c r="N34" s="49"/>
    </row>
    <row r="35" s="30" customFormat="1" spans="1:14">
      <c r="A35" s="59" t="s">
        <v>1574</v>
      </c>
      <c r="B35" s="59" t="s">
        <v>1575</v>
      </c>
      <c r="C35" s="59" t="s">
        <v>1544</v>
      </c>
      <c r="D35" s="59" t="s">
        <v>1545</v>
      </c>
      <c r="E35" s="59">
        <v>9708</v>
      </c>
      <c r="F35" s="59" t="s">
        <v>1546</v>
      </c>
      <c r="G35" s="60" t="s">
        <v>18</v>
      </c>
      <c r="H35" s="59">
        <v>0</v>
      </c>
      <c r="I35" s="48">
        <v>4</v>
      </c>
      <c r="J35" s="48"/>
      <c r="K35" s="61" t="s">
        <v>1561</v>
      </c>
      <c r="L35" s="62" t="s">
        <v>1576</v>
      </c>
      <c r="M35" s="59"/>
      <c r="N35" s="59" t="s">
        <v>1549</v>
      </c>
    </row>
    <row r="36" s="30" customFormat="1" spans="1:14">
      <c r="A36" s="59"/>
      <c r="B36" s="59"/>
      <c r="C36" s="59"/>
      <c r="D36" s="59"/>
      <c r="E36" s="59"/>
      <c r="F36" s="59"/>
      <c r="G36" s="60" t="s">
        <v>20</v>
      </c>
      <c r="H36" s="59">
        <v>4</v>
      </c>
      <c r="I36" s="48">
        <v>4</v>
      </c>
      <c r="J36" s="48"/>
      <c r="K36" s="63"/>
      <c r="L36" s="64"/>
      <c r="M36" s="59"/>
      <c r="N36" s="59"/>
    </row>
    <row r="37" s="30" customFormat="1" spans="1:14">
      <c r="A37" s="59"/>
      <c r="B37" s="59"/>
      <c r="C37" s="59"/>
      <c r="D37" s="59"/>
      <c r="E37" s="59"/>
      <c r="F37" s="59"/>
      <c r="G37" s="59" t="s">
        <v>1550</v>
      </c>
      <c r="H37" s="59">
        <v>8</v>
      </c>
      <c r="I37" s="65">
        <v>4</v>
      </c>
      <c r="J37" s="48"/>
      <c r="K37" s="66"/>
      <c r="L37" s="67"/>
      <c r="M37" s="59"/>
      <c r="N37" s="59"/>
    </row>
    <row r="38" s="30" customFormat="1" spans="1:14">
      <c r="A38" s="59" t="s">
        <v>1577</v>
      </c>
      <c r="B38" s="59" t="s">
        <v>1578</v>
      </c>
      <c r="C38" s="59" t="s">
        <v>1544</v>
      </c>
      <c r="D38" s="59" t="s">
        <v>1545</v>
      </c>
      <c r="E38" s="59">
        <v>9709</v>
      </c>
      <c r="F38" s="59" t="s">
        <v>1546</v>
      </c>
      <c r="G38" s="60" t="s">
        <v>18</v>
      </c>
      <c r="H38" s="59">
        <v>0</v>
      </c>
      <c r="I38" s="48">
        <v>4</v>
      </c>
      <c r="J38" s="48"/>
      <c r="K38" s="61" t="s">
        <v>1561</v>
      </c>
      <c r="L38" s="62" t="s">
        <v>1579</v>
      </c>
      <c r="M38" s="59"/>
      <c r="N38" s="59" t="s">
        <v>1549</v>
      </c>
    </row>
    <row r="39" s="30" customFormat="1" spans="1:14">
      <c r="A39" s="59"/>
      <c r="B39" s="59"/>
      <c r="C39" s="59"/>
      <c r="D39" s="59"/>
      <c r="E39" s="59"/>
      <c r="F39" s="59"/>
      <c r="G39" s="60" t="s">
        <v>20</v>
      </c>
      <c r="H39" s="59">
        <v>4</v>
      </c>
      <c r="I39" s="48">
        <v>4</v>
      </c>
      <c r="J39" s="48"/>
      <c r="K39" s="63"/>
      <c r="L39" s="64"/>
      <c r="M39" s="59"/>
      <c r="N39" s="59"/>
    </row>
    <row r="40" s="30" customFormat="1" spans="1:14">
      <c r="A40" s="59"/>
      <c r="B40" s="59"/>
      <c r="C40" s="59"/>
      <c r="D40" s="59"/>
      <c r="E40" s="59"/>
      <c r="F40" s="59"/>
      <c r="G40" s="59" t="s">
        <v>1550</v>
      </c>
      <c r="H40" s="59">
        <v>8</v>
      </c>
      <c r="I40" s="65">
        <v>44</v>
      </c>
      <c r="J40" s="48"/>
      <c r="K40" s="66"/>
      <c r="L40" s="67"/>
      <c r="M40" s="59"/>
      <c r="N40" s="59"/>
    </row>
    <row r="41" s="30" customFormat="1" spans="1:14">
      <c r="A41" s="59" t="s">
        <v>1580</v>
      </c>
      <c r="B41" s="59" t="s">
        <v>1581</v>
      </c>
      <c r="C41" s="59" t="s">
        <v>1544</v>
      </c>
      <c r="D41" s="59" t="s">
        <v>1545</v>
      </c>
      <c r="E41" s="59">
        <v>9710</v>
      </c>
      <c r="F41" s="59" t="s">
        <v>1560</v>
      </c>
      <c r="G41" s="60" t="s">
        <v>18</v>
      </c>
      <c r="H41" s="59">
        <v>0</v>
      </c>
      <c r="I41" s="48">
        <v>4</v>
      </c>
      <c r="J41" s="48"/>
      <c r="K41" s="61" t="s">
        <v>1561</v>
      </c>
      <c r="L41" s="62" t="s">
        <v>1582</v>
      </c>
      <c r="M41" s="59"/>
      <c r="N41" s="59" t="s">
        <v>1563</v>
      </c>
    </row>
    <row r="42" s="30" customFormat="1" spans="1:14">
      <c r="A42" s="59"/>
      <c r="B42" s="59"/>
      <c r="C42" s="59"/>
      <c r="D42" s="59"/>
      <c r="E42" s="59"/>
      <c r="F42" s="59"/>
      <c r="G42" s="60" t="s">
        <v>20</v>
      </c>
      <c r="H42" s="59">
        <v>4</v>
      </c>
      <c r="I42" s="48">
        <v>4</v>
      </c>
      <c r="J42" s="48"/>
      <c r="K42" s="63"/>
      <c r="L42" s="64"/>
      <c r="M42" s="59"/>
      <c r="N42" s="59"/>
    </row>
    <row r="43" s="30" customFormat="1" spans="1:14">
      <c r="A43" s="59"/>
      <c r="B43" s="59"/>
      <c r="C43" s="59"/>
      <c r="D43" s="59"/>
      <c r="E43" s="59"/>
      <c r="F43" s="59"/>
      <c r="G43" s="59" t="s">
        <v>1550</v>
      </c>
      <c r="H43" s="59">
        <v>8</v>
      </c>
      <c r="I43" s="65">
        <v>4</v>
      </c>
      <c r="J43" s="48"/>
      <c r="K43" s="66"/>
      <c r="L43" s="67"/>
      <c r="M43" s="59"/>
      <c r="N43" s="59"/>
    </row>
    <row r="44" s="30" customFormat="1" spans="1:14">
      <c r="A44" s="59" t="s">
        <v>1583</v>
      </c>
      <c r="B44" s="59" t="s">
        <v>1584</v>
      </c>
      <c r="C44" s="59" t="s">
        <v>1544</v>
      </c>
      <c r="D44" s="59" t="s">
        <v>1545</v>
      </c>
      <c r="E44" s="59">
        <v>9711</v>
      </c>
      <c r="F44" s="59" t="s">
        <v>1560</v>
      </c>
      <c r="G44" s="60" t="s">
        <v>18</v>
      </c>
      <c r="H44" s="59">
        <v>0</v>
      </c>
      <c r="I44" s="48">
        <v>4</v>
      </c>
      <c r="J44" s="48"/>
      <c r="K44" s="61" t="s">
        <v>1561</v>
      </c>
      <c r="L44" s="62" t="s">
        <v>1585</v>
      </c>
      <c r="M44" s="59"/>
      <c r="N44" s="59" t="s">
        <v>1563</v>
      </c>
    </row>
    <row r="45" s="30" customFormat="1" spans="1:14">
      <c r="A45" s="59"/>
      <c r="B45" s="59"/>
      <c r="C45" s="59"/>
      <c r="D45" s="59"/>
      <c r="E45" s="59"/>
      <c r="F45" s="59"/>
      <c r="G45" s="60" t="s">
        <v>20</v>
      </c>
      <c r="H45" s="59">
        <v>4</v>
      </c>
      <c r="I45" s="48">
        <v>4</v>
      </c>
      <c r="J45" s="48"/>
      <c r="K45" s="63"/>
      <c r="L45" s="64"/>
      <c r="M45" s="59"/>
      <c r="N45" s="59"/>
    </row>
    <row r="46" s="30" customFormat="1" spans="1:14">
      <c r="A46" s="59"/>
      <c r="B46" s="59"/>
      <c r="C46" s="59"/>
      <c r="D46" s="59"/>
      <c r="E46" s="59"/>
      <c r="F46" s="59"/>
      <c r="G46" s="59" t="s">
        <v>1550</v>
      </c>
      <c r="H46" s="59">
        <v>8</v>
      </c>
      <c r="I46" s="65">
        <v>44</v>
      </c>
      <c r="J46" s="48"/>
      <c r="K46" s="66"/>
      <c r="L46" s="67"/>
      <c r="M46" s="59"/>
      <c r="N46" s="59"/>
    </row>
    <row r="47" s="30" customFormat="1" spans="1:14">
      <c r="A47" s="59" t="s">
        <v>1574</v>
      </c>
      <c r="B47" s="59" t="s">
        <v>1575</v>
      </c>
      <c r="C47" s="59" t="s">
        <v>1544</v>
      </c>
      <c r="D47" s="59" t="s">
        <v>1545</v>
      </c>
      <c r="E47" s="59">
        <v>9508</v>
      </c>
      <c r="F47" s="59" t="s">
        <v>1546</v>
      </c>
      <c r="G47" s="60" t="s">
        <v>18</v>
      </c>
      <c r="H47" s="59">
        <v>0</v>
      </c>
      <c r="I47" s="48">
        <v>4</v>
      </c>
      <c r="J47" s="48"/>
      <c r="K47" s="61" t="s">
        <v>1561</v>
      </c>
      <c r="L47" s="62" t="s">
        <v>1576</v>
      </c>
      <c r="M47" s="59"/>
      <c r="N47" s="59" t="s">
        <v>1549</v>
      </c>
    </row>
    <row r="48" s="30" customFormat="1" spans="1:14">
      <c r="A48" s="59"/>
      <c r="B48" s="59"/>
      <c r="C48" s="59"/>
      <c r="D48" s="59"/>
      <c r="E48" s="59"/>
      <c r="F48" s="59"/>
      <c r="G48" s="60" t="s">
        <v>20</v>
      </c>
      <c r="H48" s="59">
        <v>4</v>
      </c>
      <c r="I48" s="48">
        <v>4</v>
      </c>
      <c r="J48" s="48"/>
      <c r="K48" s="63"/>
      <c r="L48" s="64"/>
      <c r="M48" s="59"/>
      <c r="N48" s="59"/>
    </row>
    <row r="49" s="30" customFormat="1" spans="1:14">
      <c r="A49" s="59"/>
      <c r="B49" s="59"/>
      <c r="C49" s="59"/>
      <c r="D49" s="59"/>
      <c r="E49" s="59"/>
      <c r="F49" s="59"/>
      <c r="G49" s="59" t="s">
        <v>1550</v>
      </c>
      <c r="H49" s="59">
        <v>8</v>
      </c>
      <c r="I49" s="65">
        <v>4</v>
      </c>
      <c r="J49" s="48"/>
      <c r="K49" s="66"/>
      <c r="L49" s="67"/>
      <c r="M49" s="59"/>
      <c r="N49" s="59"/>
    </row>
    <row r="50" s="30" customFormat="1" spans="1:14">
      <c r="A50" s="59" t="s">
        <v>1577</v>
      </c>
      <c r="B50" s="59" t="s">
        <v>1578</v>
      </c>
      <c r="C50" s="59" t="s">
        <v>1544</v>
      </c>
      <c r="D50" s="59" t="s">
        <v>1545</v>
      </c>
      <c r="E50" s="59">
        <v>9509</v>
      </c>
      <c r="F50" s="59" t="s">
        <v>1546</v>
      </c>
      <c r="G50" s="60" t="s">
        <v>18</v>
      </c>
      <c r="H50" s="59">
        <v>0</v>
      </c>
      <c r="I50" s="48">
        <v>4</v>
      </c>
      <c r="J50" s="48"/>
      <c r="K50" s="61" t="s">
        <v>1561</v>
      </c>
      <c r="L50" s="62" t="s">
        <v>1579</v>
      </c>
      <c r="M50" s="59"/>
      <c r="N50" s="59" t="s">
        <v>1549</v>
      </c>
    </row>
    <row r="51" s="30" customFormat="1" spans="1:14">
      <c r="A51" s="59"/>
      <c r="B51" s="59"/>
      <c r="C51" s="59"/>
      <c r="D51" s="59"/>
      <c r="E51" s="59"/>
      <c r="F51" s="59"/>
      <c r="G51" s="60" t="s">
        <v>20</v>
      </c>
      <c r="H51" s="59">
        <v>4</v>
      </c>
      <c r="I51" s="48">
        <v>4</v>
      </c>
      <c r="J51" s="48"/>
      <c r="K51" s="63"/>
      <c r="L51" s="64"/>
      <c r="M51" s="59"/>
      <c r="N51" s="59"/>
    </row>
    <row r="52" s="30" customFormat="1" spans="1:14">
      <c r="A52" s="59"/>
      <c r="B52" s="59"/>
      <c r="C52" s="59"/>
      <c r="D52" s="59"/>
      <c r="E52" s="59"/>
      <c r="F52" s="59"/>
      <c r="G52" s="59" t="s">
        <v>1550</v>
      </c>
      <c r="H52" s="59">
        <v>8</v>
      </c>
      <c r="I52" s="65">
        <v>44</v>
      </c>
      <c r="J52" s="48"/>
      <c r="K52" s="66"/>
      <c r="L52" s="67"/>
      <c r="M52" s="59"/>
      <c r="N52" s="59"/>
    </row>
    <row r="53" s="30" customFormat="1" spans="1:14">
      <c r="A53" s="59" t="s">
        <v>1580</v>
      </c>
      <c r="B53" s="59" t="s">
        <v>1581</v>
      </c>
      <c r="C53" s="59" t="s">
        <v>1544</v>
      </c>
      <c r="D53" s="59" t="s">
        <v>1545</v>
      </c>
      <c r="E53" s="59">
        <v>9510</v>
      </c>
      <c r="F53" s="59" t="s">
        <v>1560</v>
      </c>
      <c r="G53" s="60" t="s">
        <v>18</v>
      </c>
      <c r="H53" s="59">
        <v>0</v>
      </c>
      <c r="I53" s="48">
        <v>4</v>
      </c>
      <c r="J53" s="48"/>
      <c r="K53" s="61" t="s">
        <v>1561</v>
      </c>
      <c r="L53" s="62" t="s">
        <v>1582</v>
      </c>
      <c r="M53" s="59"/>
      <c r="N53" s="59" t="s">
        <v>1563</v>
      </c>
    </row>
    <row r="54" s="30" customFormat="1" spans="1:14">
      <c r="A54" s="59"/>
      <c r="B54" s="59"/>
      <c r="C54" s="59"/>
      <c r="D54" s="59"/>
      <c r="E54" s="59"/>
      <c r="F54" s="59"/>
      <c r="G54" s="60" t="s">
        <v>20</v>
      </c>
      <c r="H54" s="59">
        <v>4</v>
      </c>
      <c r="I54" s="48">
        <v>4</v>
      </c>
      <c r="J54" s="48"/>
      <c r="K54" s="63"/>
      <c r="L54" s="64"/>
      <c r="M54" s="59"/>
      <c r="N54" s="59"/>
    </row>
    <row r="55" s="30" customFormat="1" spans="1:14">
      <c r="A55" s="59"/>
      <c r="B55" s="59"/>
      <c r="C55" s="59"/>
      <c r="D55" s="59"/>
      <c r="E55" s="59"/>
      <c r="F55" s="59"/>
      <c r="G55" s="59" t="s">
        <v>1550</v>
      </c>
      <c r="H55" s="59">
        <v>8</v>
      </c>
      <c r="I55" s="65">
        <v>4</v>
      </c>
      <c r="J55" s="48"/>
      <c r="K55" s="66"/>
      <c r="L55" s="67"/>
      <c r="M55" s="59"/>
      <c r="N55" s="59"/>
    </row>
    <row r="56" s="30" customFormat="1" spans="1:14">
      <c r="A56" s="59" t="s">
        <v>1583</v>
      </c>
      <c r="B56" s="59" t="s">
        <v>1584</v>
      </c>
      <c r="C56" s="59" t="s">
        <v>1544</v>
      </c>
      <c r="D56" s="59" t="s">
        <v>1545</v>
      </c>
      <c r="E56" s="59">
        <v>9511</v>
      </c>
      <c r="F56" s="59" t="s">
        <v>1560</v>
      </c>
      <c r="G56" s="60" t="s">
        <v>18</v>
      </c>
      <c r="H56" s="59">
        <v>0</v>
      </c>
      <c r="I56" s="48">
        <v>4</v>
      </c>
      <c r="J56" s="48"/>
      <c r="K56" s="61" t="s">
        <v>1561</v>
      </c>
      <c r="L56" s="62" t="s">
        <v>1585</v>
      </c>
      <c r="M56" s="59"/>
      <c r="N56" s="59" t="s">
        <v>1563</v>
      </c>
    </row>
    <row r="57" s="30" customFormat="1" spans="1:14">
      <c r="A57" s="59"/>
      <c r="B57" s="59"/>
      <c r="C57" s="59"/>
      <c r="D57" s="59"/>
      <c r="E57" s="59"/>
      <c r="F57" s="59"/>
      <c r="G57" s="60" t="s">
        <v>20</v>
      </c>
      <c r="H57" s="59">
        <v>4</v>
      </c>
      <c r="I57" s="48">
        <v>4</v>
      </c>
      <c r="J57" s="48"/>
      <c r="K57" s="63"/>
      <c r="L57" s="64"/>
      <c r="M57" s="59"/>
      <c r="N57" s="59"/>
    </row>
    <row r="58" s="30" customFormat="1" spans="1:14">
      <c r="A58" s="59"/>
      <c r="B58" s="59"/>
      <c r="C58" s="59"/>
      <c r="D58" s="59"/>
      <c r="E58" s="59"/>
      <c r="F58" s="59"/>
      <c r="G58" s="59" t="s">
        <v>1550</v>
      </c>
      <c r="H58" s="59">
        <v>8</v>
      </c>
      <c r="I58" s="65">
        <v>44</v>
      </c>
      <c r="J58" s="48"/>
      <c r="K58" s="66"/>
      <c r="L58" s="67"/>
      <c r="M58" s="59"/>
      <c r="N58" s="59"/>
    </row>
    <row r="59" s="30" customFormat="1" spans="1:14">
      <c r="A59" s="38" t="s">
        <v>1586</v>
      </c>
      <c r="B59" s="38" t="s">
        <v>1587</v>
      </c>
      <c r="C59" s="38" t="s">
        <v>1588</v>
      </c>
      <c r="D59" s="38" t="s">
        <v>1545</v>
      </c>
      <c r="E59" s="38">
        <v>9801</v>
      </c>
      <c r="F59" s="38" t="s">
        <v>1546</v>
      </c>
      <c r="G59" s="39" t="s">
        <v>18</v>
      </c>
      <c r="H59" s="38">
        <v>0</v>
      </c>
      <c r="I59" s="40">
        <v>4</v>
      </c>
      <c r="J59" s="40"/>
      <c r="K59" s="41" t="s">
        <v>1547</v>
      </c>
      <c r="L59" s="42" t="s">
        <v>1548</v>
      </c>
      <c r="M59" s="38"/>
      <c r="N59" s="38" t="s">
        <v>1549</v>
      </c>
    </row>
    <row r="60" s="30" customFormat="1" spans="1:14">
      <c r="A60" s="38"/>
      <c r="B60" s="38"/>
      <c r="C60" s="38"/>
      <c r="D60" s="38"/>
      <c r="E60" s="38"/>
      <c r="F60" s="38"/>
      <c r="G60" s="39" t="s">
        <v>20</v>
      </c>
      <c r="H60" s="38">
        <v>4</v>
      </c>
      <c r="I60" s="40">
        <v>4</v>
      </c>
      <c r="J60" s="40"/>
      <c r="K60" s="43"/>
      <c r="L60" s="44"/>
      <c r="M60" s="38"/>
      <c r="N60" s="38"/>
    </row>
    <row r="61" s="30" customFormat="1" spans="1:14">
      <c r="A61" s="38"/>
      <c r="B61" s="38"/>
      <c r="C61" s="38"/>
      <c r="D61" s="38"/>
      <c r="E61" s="38"/>
      <c r="F61" s="38"/>
      <c r="G61" s="38" t="s">
        <v>1550</v>
      </c>
      <c r="H61" s="38">
        <v>8</v>
      </c>
      <c r="I61" s="45">
        <v>4</v>
      </c>
      <c r="J61" s="40"/>
      <c r="K61" s="46"/>
      <c r="L61" s="47"/>
      <c r="M61" s="38"/>
      <c r="N61" s="38"/>
    </row>
    <row r="62" s="30" customFormat="1" spans="1:14">
      <c r="A62" s="38" t="s">
        <v>1589</v>
      </c>
      <c r="B62" s="38" t="s">
        <v>1590</v>
      </c>
      <c r="C62" s="38" t="s">
        <v>1588</v>
      </c>
      <c r="D62" s="38" t="s">
        <v>1545</v>
      </c>
      <c r="E62" s="38">
        <v>9802</v>
      </c>
      <c r="F62" s="38" t="s">
        <v>1546</v>
      </c>
      <c r="G62" s="39" t="s">
        <v>18</v>
      </c>
      <c r="H62" s="38">
        <v>0</v>
      </c>
      <c r="I62" s="40">
        <v>4</v>
      </c>
      <c r="J62" s="40"/>
      <c r="K62" s="41" t="s">
        <v>1553</v>
      </c>
      <c r="L62" s="42" t="s">
        <v>1554</v>
      </c>
      <c r="M62" s="38"/>
      <c r="N62" s="38" t="s">
        <v>1549</v>
      </c>
    </row>
    <row r="63" s="30" customFormat="1" spans="1:14">
      <c r="A63" s="38"/>
      <c r="B63" s="38"/>
      <c r="C63" s="38"/>
      <c r="D63" s="38"/>
      <c r="E63" s="38"/>
      <c r="F63" s="38"/>
      <c r="G63" s="39" t="s">
        <v>20</v>
      </c>
      <c r="H63" s="38">
        <v>4</v>
      </c>
      <c r="I63" s="40">
        <v>4</v>
      </c>
      <c r="J63" s="40"/>
      <c r="K63" s="43"/>
      <c r="L63" s="44"/>
      <c r="M63" s="38"/>
      <c r="N63" s="38"/>
    </row>
    <row r="64" s="30" customFormat="1" spans="1:14">
      <c r="A64" s="38"/>
      <c r="B64" s="38"/>
      <c r="C64" s="38"/>
      <c r="D64" s="38"/>
      <c r="E64" s="38"/>
      <c r="F64" s="38"/>
      <c r="G64" s="38" t="s">
        <v>1550</v>
      </c>
      <c r="H64" s="38">
        <v>8</v>
      </c>
      <c r="I64" s="45">
        <v>64</v>
      </c>
      <c r="J64" s="40"/>
      <c r="K64" s="46"/>
      <c r="L64" s="47"/>
      <c r="M64" s="38"/>
      <c r="N64" s="38"/>
    </row>
    <row r="65" s="30" customFormat="1" spans="1:14">
      <c r="A65" s="38" t="s">
        <v>1591</v>
      </c>
      <c r="B65" s="38" t="s">
        <v>1592</v>
      </c>
      <c r="C65" s="38" t="s">
        <v>1588</v>
      </c>
      <c r="D65" s="38" t="s">
        <v>1545</v>
      </c>
      <c r="E65" s="38">
        <v>9803</v>
      </c>
      <c r="F65" s="38" t="s">
        <v>1546</v>
      </c>
      <c r="G65" s="39" t="s">
        <v>18</v>
      </c>
      <c r="H65" s="38">
        <v>0</v>
      </c>
      <c r="I65" s="40">
        <v>4</v>
      </c>
      <c r="J65" s="40"/>
      <c r="K65" s="41" t="s">
        <v>1553</v>
      </c>
      <c r="L65" s="42" t="s">
        <v>1557</v>
      </c>
      <c r="M65" s="38"/>
      <c r="N65" s="38" t="s">
        <v>1549</v>
      </c>
    </row>
    <row r="66" s="30" customFormat="1" spans="1:14">
      <c r="A66" s="38"/>
      <c r="B66" s="38"/>
      <c r="C66" s="38"/>
      <c r="D66" s="38"/>
      <c r="E66" s="38"/>
      <c r="F66" s="38"/>
      <c r="G66" s="39" t="s">
        <v>20</v>
      </c>
      <c r="H66" s="38">
        <v>4</v>
      </c>
      <c r="I66" s="40">
        <v>4</v>
      </c>
      <c r="J66" s="40"/>
      <c r="K66" s="43"/>
      <c r="L66" s="44"/>
      <c r="M66" s="38"/>
      <c r="N66" s="38"/>
    </row>
    <row r="67" s="30" customFormat="1" spans="1:14">
      <c r="A67" s="38"/>
      <c r="B67" s="38"/>
      <c r="C67" s="38"/>
      <c r="D67" s="38"/>
      <c r="E67" s="38"/>
      <c r="F67" s="38"/>
      <c r="G67" s="38" t="s">
        <v>1550</v>
      </c>
      <c r="H67" s="38">
        <v>8</v>
      </c>
      <c r="I67" s="45">
        <v>12</v>
      </c>
      <c r="J67" s="40"/>
      <c r="K67" s="46"/>
      <c r="L67" s="47"/>
      <c r="M67" s="38"/>
      <c r="N67" s="38"/>
    </row>
    <row r="68" s="30" customFormat="1" spans="1:14">
      <c r="A68" s="38" t="s">
        <v>1593</v>
      </c>
      <c r="B68" s="38" t="s">
        <v>1594</v>
      </c>
      <c r="C68" s="38" t="s">
        <v>1588</v>
      </c>
      <c r="D68" s="38" t="s">
        <v>1545</v>
      </c>
      <c r="E68" s="38">
        <v>9804</v>
      </c>
      <c r="F68" s="38" t="s">
        <v>1560</v>
      </c>
      <c r="G68" s="39" t="s">
        <v>18</v>
      </c>
      <c r="H68" s="38">
        <v>0</v>
      </c>
      <c r="I68" s="40">
        <v>4</v>
      </c>
      <c r="J68" s="40"/>
      <c r="K68" s="41" t="s">
        <v>1561</v>
      </c>
      <c r="L68" s="42" t="s">
        <v>1562</v>
      </c>
      <c r="M68" s="38"/>
      <c r="N68" s="38" t="s">
        <v>1563</v>
      </c>
    </row>
    <row r="69" s="30" customFormat="1" spans="1:14">
      <c r="A69" s="38"/>
      <c r="B69" s="38"/>
      <c r="C69" s="38"/>
      <c r="D69" s="38"/>
      <c r="E69" s="38"/>
      <c r="F69" s="38"/>
      <c r="G69" s="39" t="s">
        <v>20</v>
      </c>
      <c r="H69" s="38">
        <v>4</v>
      </c>
      <c r="I69" s="40">
        <v>4</v>
      </c>
      <c r="J69" s="40"/>
      <c r="K69" s="43"/>
      <c r="L69" s="44"/>
      <c r="M69" s="38"/>
      <c r="N69" s="38"/>
    </row>
    <row r="70" s="30" customFormat="1" spans="1:14">
      <c r="A70" s="38"/>
      <c r="B70" s="38"/>
      <c r="C70" s="38"/>
      <c r="D70" s="38"/>
      <c r="E70" s="38"/>
      <c r="F70" s="38"/>
      <c r="G70" s="38" t="s">
        <v>1550</v>
      </c>
      <c r="H70" s="38">
        <v>8</v>
      </c>
      <c r="I70" s="45">
        <v>8</v>
      </c>
      <c r="J70" s="40"/>
      <c r="K70" s="46"/>
      <c r="L70" s="47"/>
      <c r="M70" s="38"/>
      <c r="N70" s="38"/>
    </row>
    <row r="71" s="30" customFormat="1" spans="1:14">
      <c r="A71" s="38" t="s">
        <v>1595</v>
      </c>
      <c r="B71" s="38" t="s">
        <v>1596</v>
      </c>
      <c r="C71" s="38" t="s">
        <v>1588</v>
      </c>
      <c r="D71" s="38" t="s">
        <v>1545</v>
      </c>
      <c r="E71" s="38">
        <v>9805</v>
      </c>
      <c r="F71" s="38" t="s">
        <v>1560</v>
      </c>
      <c r="G71" s="39" t="s">
        <v>18</v>
      </c>
      <c r="H71" s="38">
        <v>0</v>
      </c>
      <c r="I71" s="40">
        <v>4</v>
      </c>
      <c r="J71" s="40"/>
      <c r="K71" s="41" t="s">
        <v>1561</v>
      </c>
      <c r="L71" s="42" t="s">
        <v>1566</v>
      </c>
      <c r="M71" s="38"/>
      <c r="N71" s="38" t="s">
        <v>1563</v>
      </c>
    </row>
    <row r="72" s="30" customFormat="1" spans="1:14">
      <c r="A72" s="38"/>
      <c r="B72" s="38"/>
      <c r="C72" s="38"/>
      <c r="D72" s="38"/>
      <c r="E72" s="38"/>
      <c r="F72" s="38"/>
      <c r="G72" s="39" t="s">
        <v>20</v>
      </c>
      <c r="H72" s="38">
        <v>4</v>
      </c>
      <c r="I72" s="40">
        <v>4</v>
      </c>
      <c r="J72" s="40"/>
      <c r="K72" s="43"/>
      <c r="L72" s="44"/>
      <c r="M72" s="38"/>
      <c r="N72" s="38"/>
    </row>
    <row r="73" s="30" customFormat="1" spans="1:14">
      <c r="A73" s="38"/>
      <c r="B73" s="38"/>
      <c r="C73" s="38"/>
      <c r="D73" s="38"/>
      <c r="E73" s="38"/>
      <c r="F73" s="38"/>
      <c r="G73" s="38" t="s">
        <v>1550</v>
      </c>
      <c r="H73" s="38">
        <v>8</v>
      </c>
      <c r="I73" s="45">
        <v>32</v>
      </c>
      <c r="J73" s="40"/>
      <c r="K73" s="46"/>
      <c r="L73" s="47"/>
      <c r="M73" s="38"/>
      <c r="N73" s="38"/>
    </row>
    <row r="74" s="30" customFormat="1" spans="1:14">
      <c r="A74" s="38" t="s">
        <v>1597</v>
      </c>
      <c r="B74" s="38" t="s">
        <v>1598</v>
      </c>
      <c r="C74" s="38" t="s">
        <v>1588</v>
      </c>
      <c r="D74" s="38" t="s">
        <v>1545</v>
      </c>
      <c r="E74" s="38">
        <v>9806</v>
      </c>
      <c r="F74" s="38" t="s">
        <v>1560</v>
      </c>
      <c r="G74" s="39" t="s">
        <v>18</v>
      </c>
      <c r="H74" s="38">
        <v>0</v>
      </c>
      <c r="I74" s="40">
        <v>4</v>
      </c>
      <c r="J74" s="40"/>
      <c r="K74" s="41" t="s">
        <v>1561</v>
      </c>
      <c r="L74" s="42" t="s">
        <v>1569</v>
      </c>
      <c r="M74" s="38"/>
      <c r="N74" s="38" t="s">
        <v>1563</v>
      </c>
    </row>
    <row r="75" s="30" customFormat="1" spans="1:14">
      <c r="A75" s="38"/>
      <c r="B75" s="38"/>
      <c r="C75" s="38"/>
      <c r="D75" s="38"/>
      <c r="E75" s="38"/>
      <c r="F75" s="38"/>
      <c r="G75" s="39" t="s">
        <v>20</v>
      </c>
      <c r="H75" s="38">
        <v>4</v>
      </c>
      <c r="I75" s="40">
        <v>4</v>
      </c>
      <c r="J75" s="40"/>
      <c r="K75" s="43"/>
      <c r="L75" s="44"/>
      <c r="M75" s="38"/>
      <c r="N75" s="38"/>
    </row>
    <row r="76" s="30" customFormat="1" spans="1:14">
      <c r="A76" s="38"/>
      <c r="B76" s="38"/>
      <c r="C76" s="38"/>
      <c r="D76" s="38"/>
      <c r="E76" s="38"/>
      <c r="F76" s="38"/>
      <c r="G76" s="38" t="s">
        <v>1550</v>
      </c>
      <c r="H76" s="38">
        <v>8</v>
      </c>
      <c r="I76" s="45">
        <v>32</v>
      </c>
      <c r="J76" s="40"/>
      <c r="K76" s="46"/>
      <c r="L76" s="47"/>
      <c r="M76" s="38"/>
      <c r="N76" s="38"/>
    </row>
    <row r="77" s="30" customFormat="1" spans="1:14">
      <c r="A77" s="38" t="s">
        <v>1599</v>
      </c>
      <c r="B77" s="38" t="s">
        <v>1600</v>
      </c>
      <c r="C77" s="38" t="s">
        <v>1588</v>
      </c>
      <c r="D77" s="38" t="s">
        <v>1545</v>
      </c>
      <c r="E77" s="38">
        <v>9807</v>
      </c>
      <c r="F77" s="38" t="s">
        <v>1546</v>
      </c>
      <c r="G77" s="39" t="s">
        <v>18</v>
      </c>
      <c r="H77" s="38">
        <v>0</v>
      </c>
      <c r="I77" s="40">
        <v>4</v>
      </c>
      <c r="J77" s="40"/>
      <c r="K77" s="41" t="s">
        <v>1572</v>
      </c>
      <c r="L77" s="42" t="s">
        <v>1573</v>
      </c>
      <c r="M77" s="38"/>
      <c r="N77" s="38" t="s">
        <v>1549</v>
      </c>
    </row>
    <row r="78" s="30" customFormat="1" spans="1:14">
      <c r="A78" s="38"/>
      <c r="B78" s="38"/>
      <c r="C78" s="38"/>
      <c r="D78" s="38"/>
      <c r="E78" s="38"/>
      <c r="F78" s="38"/>
      <c r="G78" s="39" t="s">
        <v>20</v>
      </c>
      <c r="H78" s="38">
        <v>4</v>
      </c>
      <c r="I78" s="45">
        <v>8</v>
      </c>
      <c r="J78" s="40"/>
      <c r="K78" s="43"/>
      <c r="L78" s="44"/>
      <c r="M78" s="38"/>
      <c r="N78" s="38"/>
    </row>
    <row r="79" s="30" customFormat="1" spans="1:14">
      <c r="A79" s="38"/>
      <c r="B79" s="38"/>
      <c r="C79" s="38"/>
      <c r="D79" s="38"/>
      <c r="E79" s="38"/>
      <c r="F79" s="38"/>
      <c r="G79" s="38" t="s">
        <v>1550</v>
      </c>
      <c r="H79" s="38">
        <v>8</v>
      </c>
      <c r="I79" s="40">
        <v>4</v>
      </c>
      <c r="J79" s="40"/>
      <c r="K79" s="46"/>
      <c r="L79" s="47"/>
      <c r="M79" s="38"/>
      <c r="N79" s="38"/>
    </row>
    <row r="80" s="30" customFormat="1" spans="1:14">
      <c r="A80" s="38" t="s">
        <v>1601</v>
      </c>
      <c r="B80" s="68" t="s">
        <v>1602</v>
      </c>
      <c r="C80" s="68" t="s">
        <v>1588</v>
      </c>
      <c r="D80" s="68" t="s">
        <v>1545</v>
      </c>
      <c r="E80" s="68">
        <v>9808</v>
      </c>
      <c r="F80" s="68" t="s">
        <v>1546</v>
      </c>
      <c r="G80" s="69" t="s">
        <v>18</v>
      </c>
      <c r="H80" s="68">
        <v>0</v>
      </c>
      <c r="I80" s="70">
        <v>4</v>
      </c>
      <c r="J80" s="70"/>
      <c r="K80" s="71" t="s">
        <v>1561</v>
      </c>
      <c r="L80" s="72" t="s">
        <v>1576</v>
      </c>
      <c r="M80" s="68"/>
      <c r="N80" s="68" t="s">
        <v>1549</v>
      </c>
    </row>
    <row r="81" s="30" customFormat="1" spans="1:14">
      <c r="A81" s="38"/>
      <c r="B81" s="68"/>
      <c r="C81" s="68"/>
      <c r="D81" s="68"/>
      <c r="E81" s="68"/>
      <c r="F81" s="68"/>
      <c r="G81" s="69" t="s">
        <v>20</v>
      </c>
      <c r="H81" s="68">
        <v>4</v>
      </c>
      <c r="I81" s="70">
        <v>4</v>
      </c>
      <c r="J81" s="70"/>
      <c r="K81" s="73"/>
      <c r="L81" s="74"/>
      <c r="M81" s="68"/>
      <c r="N81" s="68"/>
    </row>
    <row r="82" s="30" customFormat="1" spans="1:14">
      <c r="A82" s="38"/>
      <c r="B82" s="68"/>
      <c r="C82" s="68"/>
      <c r="D82" s="68"/>
      <c r="E82" s="68"/>
      <c r="F82" s="68"/>
      <c r="G82" s="68" t="s">
        <v>1550</v>
      </c>
      <c r="H82" s="68">
        <v>8</v>
      </c>
      <c r="I82" s="75">
        <v>4</v>
      </c>
      <c r="J82" s="70"/>
      <c r="K82" s="76"/>
      <c r="L82" s="77"/>
      <c r="M82" s="68"/>
      <c r="N82" s="68"/>
    </row>
    <row r="83" s="30" customFormat="1" spans="1:14">
      <c r="A83" s="38" t="s">
        <v>1603</v>
      </c>
      <c r="B83" s="68" t="s">
        <v>1604</v>
      </c>
      <c r="C83" s="68" t="s">
        <v>1588</v>
      </c>
      <c r="D83" s="68" t="s">
        <v>1545</v>
      </c>
      <c r="E83" s="68">
        <v>9809</v>
      </c>
      <c r="F83" s="68" t="s">
        <v>1546</v>
      </c>
      <c r="G83" s="69" t="s">
        <v>18</v>
      </c>
      <c r="H83" s="68">
        <v>0</v>
      </c>
      <c r="I83" s="70">
        <v>4</v>
      </c>
      <c r="J83" s="70"/>
      <c r="K83" s="71" t="s">
        <v>1561</v>
      </c>
      <c r="L83" s="72" t="s">
        <v>1579</v>
      </c>
      <c r="M83" s="68"/>
      <c r="N83" s="68" t="s">
        <v>1549</v>
      </c>
    </row>
    <row r="84" s="30" customFormat="1" spans="1:14">
      <c r="A84" s="38"/>
      <c r="B84" s="68"/>
      <c r="C84" s="68"/>
      <c r="D84" s="68"/>
      <c r="E84" s="68"/>
      <c r="F84" s="68"/>
      <c r="G84" s="69" t="s">
        <v>20</v>
      </c>
      <c r="H84" s="68">
        <v>4</v>
      </c>
      <c r="I84" s="70">
        <v>4</v>
      </c>
      <c r="J84" s="70"/>
      <c r="K84" s="73"/>
      <c r="L84" s="74"/>
      <c r="M84" s="68"/>
      <c r="N84" s="68"/>
    </row>
    <row r="85" s="30" customFormat="1" spans="1:14">
      <c r="A85" s="38"/>
      <c r="B85" s="68"/>
      <c r="C85" s="68"/>
      <c r="D85" s="68"/>
      <c r="E85" s="68"/>
      <c r="F85" s="68"/>
      <c r="G85" s="68" t="s">
        <v>1550</v>
      </c>
      <c r="H85" s="68">
        <v>8</v>
      </c>
      <c r="I85" s="75">
        <v>44</v>
      </c>
      <c r="J85" s="70"/>
      <c r="K85" s="76"/>
      <c r="L85" s="77"/>
      <c r="M85" s="68"/>
      <c r="N85" s="68"/>
    </row>
    <row r="86" s="30" customFormat="1" spans="1:14">
      <c r="A86" s="38" t="s">
        <v>1605</v>
      </c>
      <c r="B86" s="68" t="s">
        <v>1606</v>
      </c>
      <c r="C86" s="68" t="s">
        <v>1588</v>
      </c>
      <c r="D86" s="68" t="s">
        <v>1545</v>
      </c>
      <c r="E86" s="68">
        <v>9810</v>
      </c>
      <c r="F86" s="68" t="s">
        <v>1560</v>
      </c>
      <c r="G86" s="69" t="s">
        <v>18</v>
      </c>
      <c r="H86" s="68">
        <v>0</v>
      </c>
      <c r="I86" s="70">
        <v>4</v>
      </c>
      <c r="J86" s="70"/>
      <c r="K86" s="71" t="s">
        <v>1561</v>
      </c>
      <c r="L86" s="72" t="s">
        <v>1582</v>
      </c>
      <c r="M86" s="68"/>
      <c r="N86" s="68" t="s">
        <v>1563</v>
      </c>
    </row>
    <row r="87" s="30" customFormat="1" spans="1:14">
      <c r="A87" s="38"/>
      <c r="B87" s="68"/>
      <c r="C87" s="68"/>
      <c r="D87" s="68"/>
      <c r="E87" s="68"/>
      <c r="F87" s="68"/>
      <c r="G87" s="69" t="s">
        <v>20</v>
      </c>
      <c r="H87" s="68">
        <v>4</v>
      </c>
      <c r="I87" s="70">
        <v>4</v>
      </c>
      <c r="J87" s="70"/>
      <c r="K87" s="73"/>
      <c r="L87" s="74"/>
      <c r="M87" s="68"/>
      <c r="N87" s="68"/>
    </row>
    <row r="88" s="30" customFormat="1" spans="1:14">
      <c r="A88" s="38"/>
      <c r="B88" s="68"/>
      <c r="C88" s="68"/>
      <c r="D88" s="68"/>
      <c r="E88" s="68"/>
      <c r="F88" s="68"/>
      <c r="G88" s="68" t="s">
        <v>1550</v>
      </c>
      <c r="H88" s="68">
        <v>8</v>
      </c>
      <c r="I88" s="75">
        <v>4</v>
      </c>
      <c r="J88" s="70"/>
      <c r="K88" s="76"/>
      <c r="L88" s="77"/>
      <c r="M88" s="68"/>
      <c r="N88" s="68"/>
    </row>
    <row r="89" s="30" customFormat="1" spans="1:14">
      <c r="A89" s="38" t="s">
        <v>1607</v>
      </c>
      <c r="B89" s="68" t="s">
        <v>1608</v>
      </c>
      <c r="C89" s="68" t="s">
        <v>1588</v>
      </c>
      <c r="D89" s="68" t="s">
        <v>1545</v>
      </c>
      <c r="E89" s="68">
        <v>9811</v>
      </c>
      <c r="F89" s="68" t="s">
        <v>1560</v>
      </c>
      <c r="G89" s="69" t="s">
        <v>18</v>
      </c>
      <c r="H89" s="68">
        <v>0</v>
      </c>
      <c r="I89" s="70">
        <v>4</v>
      </c>
      <c r="J89" s="70"/>
      <c r="K89" s="71" t="s">
        <v>1561</v>
      </c>
      <c r="L89" s="72" t="s">
        <v>1585</v>
      </c>
      <c r="M89" s="68"/>
      <c r="N89" s="68" t="s">
        <v>1563</v>
      </c>
    </row>
    <row r="90" s="30" customFormat="1" spans="1:14">
      <c r="A90" s="38"/>
      <c r="B90" s="68"/>
      <c r="C90" s="68"/>
      <c r="D90" s="68"/>
      <c r="E90" s="68"/>
      <c r="F90" s="68"/>
      <c r="G90" s="69" t="s">
        <v>20</v>
      </c>
      <c r="H90" s="68">
        <v>4</v>
      </c>
      <c r="I90" s="70">
        <v>4</v>
      </c>
      <c r="J90" s="70"/>
      <c r="K90" s="73"/>
      <c r="L90" s="74"/>
      <c r="M90" s="68"/>
      <c r="N90" s="68"/>
    </row>
    <row r="91" s="30" customFormat="1" spans="1:14">
      <c r="A91" s="38"/>
      <c r="B91" s="68"/>
      <c r="C91" s="68"/>
      <c r="D91" s="68"/>
      <c r="E91" s="68"/>
      <c r="F91" s="68"/>
      <c r="G91" s="68" t="s">
        <v>1550</v>
      </c>
      <c r="H91" s="68">
        <v>8</v>
      </c>
      <c r="I91" s="75">
        <v>44</v>
      </c>
      <c r="J91" s="70"/>
      <c r="K91" s="76"/>
      <c r="L91" s="77"/>
      <c r="M91" s="68"/>
      <c r="N91" s="68"/>
    </row>
    <row r="92" s="31" customFormat="1" spans="1:14">
      <c r="A92" s="49" t="s">
        <v>1601</v>
      </c>
      <c r="B92" s="49" t="s">
        <v>1602</v>
      </c>
      <c r="C92" s="49" t="s">
        <v>1588</v>
      </c>
      <c r="D92" s="49" t="s">
        <v>1545</v>
      </c>
      <c r="E92" s="49">
        <v>9608</v>
      </c>
      <c r="F92" s="49" t="s">
        <v>1546</v>
      </c>
      <c r="G92" s="50" t="s">
        <v>18</v>
      </c>
      <c r="H92" s="49">
        <v>0</v>
      </c>
      <c r="I92" s="51">
        <v>4</v>
      </c>
      <c r="J92" s="51"/>
      <c r="K92" s="52" t="s">
        <v>1561</v>
      </c>
      <c r="L92" s="53" t="s">
        <v>1576</v>
      </c>
      <c r="M92" s="49"/>
      <c r="N92" s="49" t="s">
        <v>1549</v>
      </c>
    </row>
    <row r="93" s="31" customFormat="1" spans="1:14">
      <c r="A93" s="49"/>
      <c r="B93" s="49"/>
      <c r="C93" s="49"/>
      <c r="D93" s="49"/>
      <c r="E93" s="49"/>
      <c r="F93" s="49"/>
      <c r="G93" s="50" t="s">
        <v>20</v>
      </c>
      <c r="H93" s="49">
        <v>4</v>
      </c>
      <c r="I93" s="51">
        <v>4</v>
      </c>
      <c r="J93" s="51"/>
      <c r="K93" s="54"/>
      <c r="L93" s="55"/>
      <c r="M93" s="49"/>
      <c r="N93" s="49"/>
    </row>
    <row r="94" s="31" customFormat="1" spans="1:14">
      <c r="A94" s="49"/>
      <c r="B94" s="49"/>
      <c r="C94" s="49"/>
      <c r="D94" s="49"/>
      <c r="E94" s="49"/>
      <c r="F94" s="49"/>
      <c r="G94" s="49" t="s">
        <v>1550</v>
      </c>
      <c r="H94" s="49">
        <v>8</v>
      </c>
      <c r="I94" s="56">
        <v>4</v>
      </c>
      <c r="J94" s="51"/>
      <c r="K94" s="57"/>
      <c r="L94" s="58"/>
      <c r="M94" s="49"/>
      <c r="N94" s="49"/>
    </row>
    <row r="95" s="31" customFormat="1" spans="1:14">
      <c r="A95" s="49" t="s">
        <v>1603</v>
      </c>
      <c r="B95" s="49" t="s">
        <v>1604</v>
      </c>
      <c r="C95" s="49" t="s">
        <v>1588</v>
      </c>
      <c r="D95" s="49" t="s">
        <v>1545</v>
      </c>
      <c r="E95" s="49">
        <v>9609</v>
      </c>
      <c r="F95" s="49" t="s">
        <v>1546</v>
      </c>
      <c r="G95" s="50" t="s">
        <v>18</v>
      </c>
      <c r="H95" s="49">
        <v>0</v>
      </c>
      <c r="I95" s="51">
        <v>4</v>
      </c>
      <c r="J95" s="51"/>
      <c r="K95" s="52" t="s">
        <v>1561</v>
      </c>
      <c r="L95" s="53" t="s">
        <v>1579</v>
      </c>
      <c r="M95" s="49"/>
      <c r="N95" s="49" t="s">
        <v>1549</v>
      </c>
    </row>
    <row r="96" s="31" customFormat="1" spans="1:14">
      <c r="A96" s="49"/>
      <c r="B96" s="49"/>
      <c r="C96" s="49"/>
      <c r="D96" s="49"/>
      <c r="E96" s="49"/>
      <c r="F96" s="49"/>
      <c r="G96" s="50" t="s">
        <v>20</v>
      </c>
      <c r="H96" s="49">
        <v>4</v>
      </c>
      <c r="I96" s="51">
        <v>4</v>
      </c>
      <c r="J96" s="51"/>
      <c r="K96" s="54"/>
      <c r="L96" s="55"/>
      <c r="M96" s="49"/>
      <c r="N96" s="49"/>
    </row>
    <row r="97" s="31" customFormat="1" spans="1:14">
      <c r="A97" s="49"/>
      <c r="B97" s="49"/>
      <c r="C97" s="49"/>
      <c r="D97" s="49"/>
      <c r="E97" s="49"/>
      <c r="F97" s="49"/>
      <c r="G97" s="49" t="s">
        <v>1550</v>
      </c>
      <c r="H97" s="49">
        <v>8</v>
      </c>
      <c r="I97" s="56">
        <v>44</v>
      </c>
      <c r="J97" s="51"/>
      <c r="K97" s="57"/>
      <c r="L97" s="58"/>
      <c r="M97" s="49"/>
      <c r="N97" s="49"/>
    </row>
    <row r="98" s="31" customFormat="1" spans="1:14">
      <c r="A98" s="49" t="s">
        <v>1605</v>
      </c>
      <c r="B98" s="49" t="s">
        <v>1606</v>
      </c>
      <c r="C98" s="49" t="s">
        <v>1588</v>
      </c>
      <c r="D98" s="49" t="s">
        <v>1545</v>
      </c>
      <c r="E98" s="49">
        <v>9610</v>
      </c>
      <c r="F98" s="49" t="s">
        <v>1560</v>
      </c>
      <c r="G98" s="50" t="s">
        <v>18</v>
      </c>
      <c r="H98" s="49">
        <v>0</v>
      </c>
      <c r="I98" s="51">
        <v>4</v>
      </c>
      <c r="J98" s="51"/>
      <c r="K98" s="52" t="s">
        <v>1561</v>
      </c>
      <c r="L98" s="53" t="s">
        <v>1582</v>
      </c>
      <c r="M98" s="49"/>
      <c r="N98" s="49" t="s">
        <v>1563</v>
      </c>
    </row>
    <row r="99" s="31" customFormat="1" spans="1:14">
      <c r="A99" s="49"/>
      <c r="B99" s="49"/>
      <c r="C99" s="49"/>
      <c r="D99" s="49"/>
      <c r="E99" s="49"/>
      <c r="F99" s="49"/>
      <c r="G99" s="50" t="s">
        <v>20</v>
      </c>
      <c r="H99" s="49">
        <v>4</v>
      </c>
      <c r="I99" s="51">
        <v>4</v>
      </c>
      <c r="J99" s="51"/>
      <c r="K99" s="54"/>
      <c r="L99" s="55"/>
      <c r="M99" s="49"/>
      <c r="N99" s="49"/>
    </row>
    <row r="100" s="31" customFormat="1" spans="1:14">
      <c r="A100" s="49"/>
      <c r="B100" s="49"/>
      <c r="C100" s="49"/>
      <c r="D100" s="49"/>
      <c r="E100" s="49"/>
      <c r="F100" s="49"/>
      <c r="G100" s="49" t="s">
        <v>1550</v>
      </c>
      <c r="H100" s="49">
        <v>8</v>
      </c>
      <c r="I100" s="56">
        <v>4</v>
      </c>
      <c r="J100" s="51"/>
      <c r="K100" s="57"/>
      <c r="L100" s="58"/>
      <c r="M100" s="49"/>
      <c r="N100" s="49"/>
    </row>
    <row r="101" s="31" customFormat="1" spans="1:14">
      <c r="A101" s="49" t="s">
        <v>1607</v>
      </c>
      <c r="B101" s="49" t="s">
        <v>1608</v>
      </c>
      <c r="C101" s="49" t="s">
        <v>1588</v>
      </c>
      <c r="D101" s="49" t="s">
        <v>1545</v>
      </c>
      <c r="E101" s="49">
        <v>9611</v>
      </c>
      <c r="F101" s="49" t="s">
        <v>1560</v>
      </c>
      <c r="G101" s="50" t="s">
        <v>18</v>
      </c>
      <c r="H101" s="49">
        <v>0</v>
      </c>
      <c r="I101" s="51">
        <v>4</v>
      </c>
      <c r="J101" s="51"/>
      <c r="K101" s="52" t="s">
        <v>1561</v>
      </c>
      <c r="L101" s="53" t="s">
        <v>1585</v>
      </c>
      <c r="M101" s="49"/>
      <c r="N101" s="49" t="s">
        <v>1563</v>
      </c>
    </row>
    <row r="102" s="31" customFormat="1" spans="1:14">
      <c r="A102" s="49"/>
      <c r="B102" s="49"/>
      <c r="C102" s="49"/>
      <c r="D102" s="49"/>
      <c r="E102" s="49"/>
      <c r="F102" s="49"/>
      <c r="G102" s="50" t="s">
        <v>20</v>
      </c>
      <c r="H102" s="49">
        <v>4</v>
      </c>
      <c r="I102" s="51">
        <v>4</v>
      </c>
      <c r="J102" s="51"/>
      <c r="K102" s="54"/>
      <c r="L102" s="55"/>
      <c r="M102" s="49"/>
      <c r="N102" s="49"/>
    </row>
    <row r="103" s="31" customFormat="1" spans="1:14">
      <c r="A103" s="49"/>
      <c r="B103" s="49"/>
      <c r="C103" s="49"/>
      <c r="D103" s="49"/>
      <c r="E103" s="49"/>
      <c r="F103" s="49"/>
      <c r="G103" s="49" t="s">
        <v>1550</v>
      </c>
      <c r="H103" s="49">
        <v>8</v>
      </c>
      <c r="I103" s="56">
        <v>44</v>
      </c>
      <c r="J103" s="51"/>
      <c r="K103" s="57"/>
      <c r="L103" s="58"/>
      <c r="M103" s="49"/>
      <c r="N103" s="49"/>
    </row>
    <row r="104" s="32" customFormat="1" spans="1:14">
      <c r="A104" s="78" t="s">
        <v>1601</v>
      </c>
      <c r="B104" s="78" t="s">
        <v>1602</v>
      </c>
      <c r="C104" s="78" t="s">
        <v>1588</v>
      </c>
      <c r="D104" s="78" t="s">
        <v>1545</v>
      </c>
      <c r="E104" s="78">
        <v>9408</v>
      </c>
      <c r="F104" s="78" t="s">
        <v>1546</v>
      </c>
      <c r="G104" s="79" t="s">
        <v>18</v>
      </c>
      <c r="H104" s="78">
        <v>0</v>
      </c>
      <c r="I104" s="80">
        <v>4</v>
      </c>
      <c r="J104" s="80"/>
      <c r="K104" s="81" t="s">
        <v>1561</v>
      </c>
      <c r="L104" s="82" t="s">
        <v>1576</v>
      </c>
      <c r="M104" s="78"/>
      <c r="N104" s="78" t="s">
        <v>1549</v>
      </c>
    </row>
    <row r="105" s="32" customFormat="1" spans="1:14">
      <c r="A105" s="78"/>
      <c r="B105" s="78"/>
      <c r="C105" s="78"/>
      <c r="D105" s="78"/>
      <c r="E105" s="78"/>
      <c r="F105" s="78"/>
      <c r="G105" s="79" t="s">
        <v>20</v>
      </c>
      <c r="H105" s="78">
        <v>4</v>
      </c>
      <c r="I105" s="80">
        <v>4</v>
      </c>
      <c r="J105" s="80"/>
      <c r="K105" s="83"/>
      <c r="L105" s="84"/>
      <c r="M105" s="78"/>
      <c r="N105" s="78"/>
    </row>
    <row r="106" s="32" customFormat="1" spans="1:14">
      <c r="A106" s="78"/>
      <c r="B106" s="78"/>
      <c r="C106" s="78"/>
      <c r="D106" s="78"/>
      <c r="E106" s="78"/>
      <c r="F106" s="78"/>
      <c r="G106" s="78" t="s">
        <v>1550</v>
      </c>
      <c r="H106" s="78">
        <v>8</v>
      </c>
      <c r="I106" s="85">
        <v>4</v>
      </c>
      <c r="J106" s="80"/>
      <c r="K106" s="86"/>
      <c r="L106" s="87"/>
      <c r="M106" s="78"/>
      <c r="N106" s="78"/>
    </row>
    <row r="107" s="32" customFormat="1" spans="1:14">
      <c r="A107" s="78" t="s">
        <v>1603</v>
      </c>
      <c r="B107" s="78" t="s">
        <v>1604</v>
      </c>
      <c r="C107" s="78" t="s">
        <v>1588</v>
      </c>
      <c r="D107" s="78" t="s">
        <v>1545</v>
      </c>
      <c r="E107" s="78">
        <v>9409</v>
      </c>
      <c r="F107" s="78" t="s">
        <v>1546</v>
      </c>
      <c r="G107" s="79" t="s">
        <v>18</v>
      </c>
      <c r="H107" s="78">
        <v>0</v>
      </c>
      <c r="I107" s="80">
        <v>4</v>
      </c>
      <c r="J107" s="80"/>
      <c r="K107" s="81" t="s">
        <v>1561</v>
      </c>
      <c r="L107" s="82" t="s">
        <v>1579</v>
      </c>
      <c r="M107" s="78"/>
      <c r="N107" s="78" t="s">
        <v>1549</v>
      </c>
    </row>
    <row r="108" s="32" customFormat="1" spans="1:14">
      <c r="A108" s="78"/>
      <c r="B108" s="78"/>
      <c r="C108" s="78"/>
      <c r="D108" s="78"/>
      <c r="E108" s="78"/>
      <c r="F108" s="78"/>
      <c r="G108" s="79" t="s">
        <v>20</v>
      </c>
      <c r="H108" s="78">
        <v>4</v>
      </c>
      <c r="I108" s="80">
        <v>4</v>
      </c>
      <c r="J108" s="80"/>
      <c r="K108" s="83"/>
      <c r="L108" s="84"/>
      <c r="M108" s="78"/>
      <c r="N108" s="78"/>
    </row>
    <row r="109" s="32" customFormat="1" spans="1:14">
      <c r="A109" s="78"/>
      <c r="B109" s="78"/>
      <c r="C109" s="78"/>
      <c r="D109" s="78"/>
      <c r="E109" s="78"/>
      <c r="F109" s="78"/>
      <c r="G109" s="78" t="s">
        <v>1550</v>
      </c>
      <c r="H109" s="78">
        <v>8</v>
      </c>
      <c r="I109" s="85">
        <v>44</v>
      </c>
      <c r="J109" s="80"/>
      <c r="K109" s="86"/>
      <c r="L109" s="87"/>
      <c r="M109" s="78"/>
      <c r="N109" s="78"/>
    </row>
    <row r="110" s="32" customFormat="1" spans="1:14">
      <c r="A110" s="78" t="s">
        <v>1605</v>
      </c>
      <c r="B110" s="78" t="s">
        <v>1606</v>
      </c>
      <c r="C110" s="78" t="s">
        <v>1588</v>
      </c>
      <c r="D110" s="78" t="s">
        <v>1545</v>
      </c>
      <c r="E110" s="78">
        <v>9410</v>
      </c>
      <c r="F110" s="78" t="s">
        <v>1560</v>
      </c>
      <c r="G110" s="79" t="s">
        <v>18</v>
      </c>
      <c r="H110" s="78">
        <v>0</v>
      </c>
      <c r="I110" s="80">
        <v>4</v>
      </c>
      <c r="J110" s="80"/>
      <c r="K110" s="81" t="s">
        <v>1561</v>
      </c>
      <c r="L110" s="82" t="s">
        <v>1582</v>
      </c>
      <c r="M110" s="78"/>
      <c r="N110" s="78" t="s">
        <v>1563</v>
      </c>
    </row>
    <row r="111" s="32" customFormat="1" spans="1:14">
      <c r="A111" s="78"/>
      <c r="B111" s="78"/>
      <c r="C111" s="78"/>
      <c r="D111" s="78"/>
      <c r="E111" s="78"/>
      <c r="F111" s="78"/>
      <c r="G111" s="79" t="s">
        <v>20</v>
      </c>
      <c r="H111" s="78">
        <v>4</v>
      </c>
      <c r="I111" s="80">
        <v>4</v>
      </c>
      <c r="J111" s="80"/>
      <c r="K111" s="83"/>
      <c r="L111" s="84"/>
      <c r="M111" s="78"/>
      <c r="N111" s="78"/>
    </row>
    <row r="112" s="32" customFormat="1" spans="1:14">
      <c r="A112" s="78"/>
      <c r="B112" s="78"/>
      <c r="C112" s="78"/>
      <c r="D112" s="78"/>
      <c r="E112" s="78"/>
      <c r="F112" s="78"/>
      <c r="G112" s="78" t="s">
        <v>1550</v>
      </c>
      <c r="H112" s="78">
        <v>8</v>
      </c>
      <c r="I112" s="85">
        <v>4</v>
      </c>
      <c r="J112" s="80"/>
      <c r="K112" s="86"/>
      <c r="L112" s="87"/>
      <c r="M112" s="78"/>
      <c r="N112" s="78"/>
    </row>
    <row r="113" s="32" customFormat="1" spans="1:14">
      <c r="A113" s="78" t="s">
        <v>1607</v>
      </c>
      <c r="B113" s="78" t="s">
        <v>1608</v>
      </c>
      <c r="C113" s="78" t="s">
        <v>1588</v>
      </c>
      <c r="D113" s="78" t="s">
        <v>1545</v>
      </c>
      <c r="E113" s="78">
        <v>9411</v>
      </c>
      <c r="F113" s="78" t="s">
        <v>1560</v>
      </c>
      <c r="G113" s="79" t="s">
        <v>18</v>
      </c>
      <c r="H113" s="78">
        <v>0</v>
      </c>
      <c r="I113" s="80">
        <v>4</v>
      </c>
      <c r="J113" s="80"/>
      <c r="K113" s="81" t="s">
        <v>1561</v>
      </c>
      <c r="L113" s="82" t="s">
        <v>1585</v>
      </c>
      <c r="M113" s="78"/>
      <c r="N113" s="78" t="s">
        <v>1563</v>
      </c>
    </row>
    <row r="114" s="32" customFormat="1" spans="1:14">
      <c r="A114" s="78"/>
      <c r="B114" s="78"/>
      <c r="C114" s="78"/>
      <c r="D114" s="78"/>
      <c r="E114" s="78"/>
      <c r="F114" s="78"/>
      <c r="G114" s="79" t="s">
        <v>20</v>
      </c>
      <c r="H114" s="78">
        <v>4</v>
      </c>
      <c r="I114" s="80">
        <v>4</v>
      </c>
      <c r="J114" s="80"/>
      <c r="K114" s="83"/>
      <c r="L114" s="84"/>
      <c r="M114" s="78"/>
      <c r="N114" s="78"/>
    </row>
    <row r="115" s="32" customFormat="1" spans="1:14">
      <c r="A115" s="78"/>
      <c r="B115" s="78"/>
      <c r="C115" s="78"/>
      <c r="D115" s="78"/>
      <c r="E115" s="78"/>
      <c r="F115" s="78"/>
      <c r="G115" s="78" t="s">
        <v>1550</v>
      </c>
      <c r="H115" s="78">
        <v>8</v>
      </c>
      <c r="I115" s="85">
        <v>44</v>
      </c>
      <c r="J115" s="80"/>
      <c r="K115" s="86"/>
      <c r="L115" s="87"/>
      <c r="M115" s="78"/>
      <c r="N115" s="78"/>
    </row>
    <row r="116" spans="1:14">
      <c r="A116" s="38" t="s">
        <v>1609</v>
      </c>
      <c r="B116" s="38" t="s">
        <v>1610</v>
      </c>
      <c r="C116" s="88" t="s">
        <v>1611</v>
      </c>
      <c r="D116" s="38" t="s">
        <v>1545</v>
      </c>
      <c r="E116" s="38">
        <v>9001</v>
      </c>
      <c r="F116" s="38" t="s">
        <v>86</v>
      </c>
      <c r="G116" s="39" t="s">
        <v>18</v>
      </c>
      <c r="H116" s="38">
        <v>0</v>
      </c>
      <c r="I116" s="40">
        <v>4</v>
      </c>
      <c r="J116" s="40"/>
      <c r="K116" s="41" t="s">
        <v>1612</v>
      </c>
      <c r="L116" s="42" t="s">
        <v>1613</v>
      </c>
      <c r="M116" s="38"/>
      <c r="N116" s="39" t="s">
        <v>1614</v>
      </c>
    </row>
    <row r="117" spans="1:14">
      <c r="A117" s="38"/>
      <c r="B117" s="38"/>
      <c r="C117" s="38"/>
      <c r="D117" s="38"/>
      <c r="E117" s="38"/>
      <c r="F117" s="38"/>
      <c r="G117" s="39" t="s">
        <v>20</v>
      </c>
      <c r="H117" s="38">
        <v>4</v>
      </c>
      <c r="I117" s="40">
        <v>4</v>
      </c>
      <c r="J117" s="40"/>
      <c r="K117" s="43"/>
      <c r="L117" s="44"/>
      <c r="M117" s="38"/>
      <c r="N117" s="39"/>
    </row>
    <row r="118" spans="1:14">
      <c r="A118" s="38"/>
      <c r="B118" s="38"/>
      <c r="C118" s="38"/>
      <c r="D118" s="38"/>
      <c r="E118" s="38"/>
      <c r="F118" s="38"/>
      <c r="G118" s="38" t="s">
        <v>1550</v>
      </c>
      <c r="H118" s="38">
        <v>8</v>
      </c>
      <c r="I118" s="40">
        <v>13</v>
      </c>
      <c r="J118" s="40"/>
      <c r="K118" s="46"/>
      <c r="L118" s="47"/>
      <c r="M118" s="38"/>
      <c r="N118" s="39"/>
    </row>
    <row r="119" spans="1:14">
      <c r="A119" s="38" t="s">
        <v>1615</v>
      </c>
      <c r="B119" s="38" t="s">
        <v>1616</v>
      </c>
      <c r="C119" s="88" t="s">
        <v>1611</v>
      </c>
      <c r="D119" s="38" t="s">
        <v>1545</v>
      </c>
      <c r="E119" s="38">
        <v>9011</v>
      </c>
      <c r="F119" s="38" t="s">
        <v>86</v>
      </c>
      <c r="G119" s="39" t="s">
        <v>18</v>
      </c>
      <c r="H119" s="38">
        <v>0</v>
      </c>
      <c r="I119" s="40">
        <v>4</v>
      </c>
      <c r="J119" s="40"/>
      <c r="K119" s="41" t="s">
        <v>1612</v>
      </c>
      <c r="L119" s="42" t="s">
        <v>1617</v>
      </c>
      <c r="M119" s="38"/>
      <c r="N119" s="39" t="s">
        <v>1614</v>
      </c>
    </row>
    <row r="120" spans="1:14">
      <c r="A120" s="38"/>
      <c r="B120" s="38"/>
      <c r="C120" s="38"/>
      <c r="D120" s="38"/>
      <c r="E120" s="38"/>
      <c r="F120" s="38"/>
      <c r="G120" s="39" t="s">
        <v>20</v>
      </c>
      <c r="H120" s="38">
        <v>4</v>
      </c>
      <c r="I120" s="40">
        <v>4</v>
      </c>
      <c r="J120" s="40"/>
      <c r="K120" s="43"/>
      <c r="L120" s="44"/>
      <c r="M120" s="38"/>
      <c r="N120" s="39"/>
    </row>
    <row r="121" spans="1:14">
      <c r="A121" s="38"/>
      <c r="B121" s="38"/>
      <c r="C121" s="38"/>
      <c r="D121" s="38"/>
      <c r="E121" s="38"/>
      <c r="F121" s="38"/>
      <c r="G121" s="38" t="s">
        <v>1550</v>
      </c>
      <c r="H121" s="38">
        <v>8</v>
      </c>
      <c r="I121" s="45">
        <v>12</v>
      </c>
      <c r="J121" s="40"/>
      <c r="K121" s="46"/>
      <c r="L121" s="47"/>
      <c r="M121" s="38"/>
      <c r="N121" s="39"/>
    </row>
    <row r="122" spans="1:14">
      <c r="A122" s="38" t="s">
        <v>1618</v>
      </c>
      <c r="B122" s="38" t="s">
        <v>1619</v>
      </c>
      <c r="C122" s="88" t="s">
        <v>1611</v>
      </c>
      <c r="D122" s="38" t="s">
        <v>1545</v>
      </c>
      <c r="E122" s="38">
        <v>9021</v>
      </c>
      <c r="F122" s="38" t="s">
        <v>86</v>
      </c>
      <c r="G122" s="39" t="s">
        <v>18</v>
      </c>
      <c r="H122" s="38">
        <v>0</v>
      </c>
      <c r="I122" s="40">
        <v>4</v>
      </c>
      <c r="J122" s="40"/>
      <c r="K122" s="41" t="s">
        <v>1612</v>
      </c>
      <c r="L122" s="42" t="s">
        <v>1620</v>
      </c>
      <c r="M122" s="38"/>
      <c r="N122" s="39" t="s">
        <v>1614</v>
      </c>
    </row>
    <row r="123" spans="1:14">
      <c r="A123" s="38"/>
      <c r="B123" s="38"/>
      <c r="C123" s="38"/>
      <c r="D123" s="38"/>
      <c r="E123" s="38"/>
      <c r="F123" s="38"/>
      <c r="G123" s="39" t="s">
        <v>20</v>
      </c>
      <c r="H123" s="38">
        <v>4</v>
      </c>
      <c r="I123" s="40">
        <v>4</v>
      </c>
      <c r="J123" s="40"/>
      <c r="K123" s="43"/>
      <c r="L123" s="44"/>
      <c r="M123" s="38"/>
      <c r="N123" s="39"/>
    </row>
    <row r="124" spans="1:14">
      <c r="A124" s="38"/>
      <c r="B124" s="38"/>
      <c r="C124" s="38"/>
      <c r="D124" s="38"/>
      <c r="E124" s="38"/>
      <c r="F124" s="38"/>
      <c r="G124" s="38" t="s">
        <v>1550</v>
      </c>
      <c r="H124" s="38">
        <v>8</v>
      </c>
      <c r="I124" s="45">
        <v>16</v>
      </c>
      <c r="J124" s="40"/>
      <c r="K124" s="46"/>
      <c r="L124" s="47"/>
      <c r="M124" s="38"/>
      <c r="N124" s="39"/>
    </row>
    <row r="125" spans="1:14">
      <c r="A125" s="38" t="s">
        <v>1621</v>
      </c>
      <c r="B125" s="38" t="s">
        <v>1622</v>
      </c>
      <c r="C125" s="88" t="s">
        <v>1611</v>
      </c>
      <c r="D125" s="38" t="s">
        <v>1545</v>
      </c>
      <c r="E125" s="38">
        <v>9031</v>
      </c>
      <c r="F125" s="38" t="s">
        <v>86</v>
      </c>
      <c r="G125" s="39" t="s">
        <v>18</v>
      </c>
      <c r="H125" s="38">
        <v>0</v>
      </c>
      <c r="I125" s="40">
        <v>4</v>
      </c>
      <c r="J125" s="40"/>
      <c r="K125" s="41" t="s">
        <v>1612</v>
      </c>
      <c r="L125" s="42" t="s">
        <v>1623</v>
      </c>
      <c r="M125" s="38"/>
      <c r="N125" s="39" t="s">
        <v>1614</v>
      </c>
    </row>
    <row r="126" spans="1:14">
      <c r="A126" s="38"/>
      <c r="B126" s="38"/>
      <c r="C126" s="38"/>
      <c r="D126" s="38"/>
      <c r="E126" s="38"/>
      <c r="F126" s="38"/>
      <c r="G126" s="39" t="s">
        <v>20</v>
      </c>
      <c r="H126" s="38">
        <v>4</v>
      </c>
      <c r="I126" s="40">
        <v>4</v>
      </c>
      <c r="J126" s="40"/>
      <c r="K126" s="43"/>
      <c r="L126" s="44"/>
      <c r="M126" s="38"/>
      <c r="N126" s="39"/>
    </row>
    <row r="127" spans="1:14">
      <c r="A127" s="38"/>
      <c r="B127" s="38"/>
      <c r="C127" s="38"/>
      <c r="D127" s="38"/>
      <c r="E127" s="38"/>
      <c r="F127" s="38"/>
      <c r="G127" s="38" t="s">
        <v>1550</v>
      </c>
      <c r="H127" s="38">
        <v>8</v>
      </c>
      <c r="I127" s="45">
        <v>80</v>
      </c>
      <c r="J127" s="40"/>
      <c r="K127" s="46"/>
      <c r="L127" s="47"/>
      <c r="M127" s="38"/>
      <c r="N127" s="39"/>
    </row>
    <row r="128" spans="1:14">
      <c r="A128" s="59" t="s">
        <v>1624</v>
      </c>
      <c r="B128" s="59" t="s">
        <v>1625</v>
      </c>
      <c r="C128" s="89" t="s">
        <v>1611</v>
      </c>
      <c r="D128" s="59" t="s">
        <v>1545</v>
      </c>
      <c r="E128" s="59">
        <v>9101</v>
      </c>
      <c r="F128" s="59" t="s">
        <v>1231</v>
      </c>
      <c r="G128" s="60" t="s">
        <v>18</v>
      </c>
      <c r="H128" s="59">
        <v>0</v>
      </c>
      <c r="I128" s="48">
        <v>4</v>
      </c>
      <c r="J128" s="48"/>
      <c r="K128" s="61" t="s">
        <v>1612</v>
      </c>
      <c r="L128" s="62" t="s">
        <v>1626</v>
      </c>
      <c r="M128" s="38"/>
      <c r="N128" s="39" t="s">
        <v>1627</v>
      </c>
    </row>
    <row r="129" spans="1:14">
      <c r="A129" s="59"/>
      <c r="B129" s="59"/>
      <c r="C129" s="59"/>
      <c r="D129" s="59"/>
      <c r="E129" s="59"/>
      <c r="F129" s="59"/>
      <c r="G129" s="60" t="s">
        <v>20</v>
      </c>
      <c r="H129" s="59">
        <v>4</v>
      </c>
      <c r="I129" s="48">
        <v>4</v>
      </c>
      <c r="J129" s="48"/>
      <c r="K129" s="63"/>
      <c r="L129" s="64"/>
      <c r="M129" s="38"/>
      <c r="N129" s="39"/>
    </row>
    <row r="130" spans="1:14">
      <c r="A130" s="59"/>
      <c r="B130" s="59"/>
      <c r="C130" s="59"/>
      <c r="D130" s="59"/>
      <c r="E130" s="59"/>
      <c r="F130" s="59"/>
      <c r="G130" s="59" t="s">
        <v>1550</v>
      </c>
      <c r="H130" s="59">
        <v>8</v>
      </c>
      <c r="I130" s="65">
        <v>4</v>
      </c>
      <c r="J130" s="48"/>
      <c r="K130" s="66"/>
      <c r="L130" s="67"/>
      <c r="M130" s="38"/>
      <c r="N130" s="39"/>
    </row>
    <row r="131" s="33" customFormat="1" spans="1:14">
      <c r="A131" s="59" t="s">
        <v>1609</v>
      </c>
      <c r="B131" s="59" t="s">
        <v>1610</v>
      </c>
      <c r="C131" s="89" t="s">
        <v>1611</v>
      </c>
      <c r="D131" s="59" t="s">
        <v>1545</v>
      </c>
      <c r="E131" s="59">
        <v>9111</v>
      </c>
      <c r="F131" s="38" t="s">
        <v>1231</v>
      </c>
      <c r="G131" s="60" t="s">
        <v>18</v>
      </c>
      <c r="H131" s="59">
        <v>0</v>
      </c>
      <c r="I131" s="48">
        <v>4</v>
      </c>
      <c r="J131" s="48"/>
      <c r="K131" s="61" t="s">
        <v>1612</v>
      </c>
      <c r="L131" s="42" t="s">
        <v>1628</v>
      </c>
      <c r="M131" s="59"/>
      <c r="N131" s="39" t="s">
        <v>1627</v>
      </c>
    </row>
    <row r="132" s="33" customFormat="1" spans="1:14">
      <c r="A132" s="59"/>
      <c r="B132" s="59"/>
      <c r="C132" s="59"/>
      <c r="D132" s="59"/>
      <c r="E132" s="59"/>
      <c r="F132" s="38"/>
      <c r="G132" s="60" t="s">
        <v>20</v>
      </c>
      <c r="H132" s="59">
        <v>4</v>
      </c>
      <c r="I132" s="48">
        <v>4</v>
      </c>
      <c r="J132" s="48"/>
      <c r="K132" s="63"/>
      <c r="L132" s="44"/>
      <c r="M132" s="59"/>
      <c r="N132" s="39"/>
    </row>
    <row r="133" s="33" customFormat="1" spans="1:14">
      <c r="A133" s="59"/>
      <c r="B133" s="59"/>
      <c r="C133" s="59"/>
      <c r="D133" s="59"/>
      <c r="E133" s="59"/>
      <c r="F133" s="38"/>
      <c r="G133" s="59" t="s">
        <v>1550</v>
      </c>
      <c r="H133" s="59">
        <v>8</v>
      </c>
      <c r="I133" s="65">
        <v>4</v>
      </c>
      <c r="J133" s="48"/>
      <c r="K133" s="66"/>
      <c r="L133" s="47"/>
      <c r="M133" s="59"/>
      <c r="N133" s="39"/>
    </row>
    <row r="134" s="33" customFormat="1" spans="1:14">
      <c r="A134" s="59" t="s">
        <v>1615</v>
      </c>
      <c r="B134" s="59" t="s">
        <v>1616</v>
      </c>
      <c r="C134" s="89" t="s">
        <v>1611</v>
      </c>
      <c r="D134" s="59" t="s">
        <v>1545</v>
      </c>
      <c r="E134" s="59">
        <v>9121</v>
      </c>
      <c r="F134" s="38" t="s">
        <v>1231</v>
      </c>
      <c r="G134" s="60" t="s">
        <v>18</v>
      </c>
      <c r="H134" s="59">
        <v>0</v>
      </c>
      <c r="I134" s="48">
        <v>4</v>
      </c>
      <c r="J134" s="48"/>
      <c r="K134" s="61" t="s">
        <v>1612</v>
      </c>
      <c r="L134" s="42" t="s">
        <v>1629</v>
      </c>
      <c r="M134" s="59"/>
      <c r="N134" s="39" t="s">
        <v>1627</v>
      </c>
    </row>
    <row r="135" s="33" customFormat="1" spans="1:14">
      <c r="A135" s="59"/>
      <c r="B135" s="59"/>
      <c r="C135" s="59"/>
      <c r="D135" s="59"/>
      <c r="E135" s="59"/>
      <c r="F135" s="38"/>
      <c r="G135" s="60" t="s">
        <v>20</v>
      </c>
      <c r="H135" s="59">
        <v>4</v>
      </c>
      <c r="I135" s="48">
        <v>4</v>
      </c>
      <c r="J135" s="48"/>
      <c r="K135" s="63"/>
      <c r="L135" s="44"/>
      <c r="M135" s="59"/>
      <c r="N135" s="39"/>
    </row>
    <row r="136" s="33" customFormat="1" spans="1:14">
      <c r="A136" s="59"/>
      <c r="B136" s="59"/>
      <c r="C136" s="59"/>
      <c r="D136" s="59"/>
      <c r="E136" s="59"/>
      <c r="F136" s="38"/>
      <c r="G136" s="59" t="s">
        <v>1550</v>
      </c>
      <c r="H136" s="59">
        <v>8</v>
      </c>
      <c r="I136" s="65">
        <v>4</v>
      </c>
      <c r="J136" s="48"/>
      <c r="K136" s="66"/>
      <c r="L136" s="47"/>
      <c r="M136" s="59"/>
      <c r="N136" s="39"/>
    </row>
    <row r="137" s="33" customFormat="1" spans="1:14">
      <c r="A137" s="59" t="s">
        <v>1618</v>
      </c>
      <c r="B137" s="59" t="s">
        <v>1619</v>
      </c>
      <c r="C137" s="89" t="s">
        <v>1611</v>
      </c>
      <c r="D137" s="59" t="s">
        <v>1545</v>
      </c>
      <c r="E137" s="59">
        <v>9131</v>
      </c>
      <c r="F137" s="38" t="s">
        <v>1231</v>
      </c>
      <c r="G137" s="60" t="s">
        <v>18</v>
      </c>
      <c r="H137" s="59">
        <v>0</v>
      </c>
      <c r="I137" s="48">
        <v>4</v>
      </c>
      <c r="J137" s="48"/>
      <c r="K137" s="61" t="s">
        <v>1612</v>
      </c>
      <c r="L137" s="42" t="s">
        <v>1630</v>
      </c>
      <c r="M137" s="59"/>
      <c r="N137" s="39" t="s">
        <v>1627</v>
      </c>
    </row>
    <row r="138" s="33" customFormat="1" spans="1:14">
      <c r="A138" s="59"/>
      <c r="B138" s="59"/>
      <c r="C138" s="59"/>
      <c r="D138" s="59"/>
      <c r="E138" s="59"/>
      <c r="F138" s="38"/>
      <c r="G138" s="60" t="s">
        <v>20</v>
      </c>
      <c r="H138" s="59">
        <v>4</v>
      </c>
      <c r="I138" s="48">
        <v>4</v>
      </c>
      <c r="J138" s="48"/>
      <c r="K138" s="63"/>
      <c r="L138" s="44"/>
      <c r="M138" s="59"/>
      <c r="N138" s="39"/>
    </row>
    <row r="139" s="33" customFormat="1" spans="1:14">
      <c r="A139" s="59"/>
      <c r="B139" s="59"/>
      <c r="C139" s="59"/>
      <c r="D139" s="59"/>
      <c r="E139" s="59"/>
      <c r="F139" s="38"/>
      <c r="G139" s="59" t="s">
        <v>1550</v>
      </c>
      <c r="H139" s="59">
        <v>8</v>
      </c>
      <c r="I139" s="65">
        <v>4</v>
      </c>
      <c r="J139" s="48"/>
      <c r="K139" s="66"/>
      <c r="L139" s="47"/>
      <c r="M139" s="59"/>
      <c r="N139" s="39"/>
    </row>
    <row r="140" s="33" customFormat="1" spans="1:14">
      <c r="A140" s="59" t="s">
        <v>1621</v>
      </c>
      <c r="B140" s="59" t="s">
        <v>1622</v>
      </c>
      <c r="C140" s="89" t="s">
        <v>1611</v>
      </c>
      <c r="D140" s="59" t="s">
        <v>1545</v>
      </c>
      <c r="E140" s="59">
        <v>9141</v>
      </c>
      <c r="F140" s="38" t="s">
        <v>1231</v>
      </c>
      <c r="G140" s="60" t="s">
        <v>18</v>
      </c>
      <c r="H140" s="59">
        <v>0</v>
      </c>
      <c r="I140" s="48">
        <v>4</v>
      </c>
      <c r="J140" s="48"/>
      <c r="K140" s="61" t="s">
        <v>1612</v>
      </c>
      <c r="L140" s="42" t="s">
        <v>1631</v>
      </c>
      <c r="M140" s="59"/>
      <c r="N140" s="39" t="s">
        <v>1627</v>
      </c>
    </row>
    <row r="141" s="33" customFormat="1" spans="1:14">
      <c r="A141" s="59"/>
      <c r="B141" s="59"/>
      <c r="C141" s="59"/>
      <c r="D141" s="59"/>
      <c r="E141" s="59"/>
      <c r="F141" s="38"/>
      <c r="G141" s="60" t="s">
        <v>20</v>
      </c>
      <c r="H141" s="59">
        <v>4</v>
      </c>
      <c r="I141" s="48">
        <v>4</v>
      </c>
      <c r="J141" s="48"/>
      <c r="K141" s="63"/>
      <c r="L141" s="44"/>
      <c r="M141" s="59"/>
      <c r="N141" s="39"/>
    </row>
    <row r="142" s="33" customFormat="1" spans="1:14">
      <c r="A142" s="59"/>
      <c r="B142" s="59"/>
      <c r="C142" s="59"/>
      <c r="D142" s="59"/>
      <c r="E142" s="59"/>
      <c r="F142" s="38"/>
      <c r="G142" s="59" t="s">
        <v>1550</v>
      </c>
      <c r="H142" s="59">
        <v>8</v>
      </c>
      <c r="I142" s="65">
        <v>4</v>
      </c>
      <c r="J142" s="48"/>
      <c r="K142" s="66"/>
      <c r="L142" s="47"/>
      <c r="M142" s="59"/>
      <c r="N142" s="39"/>
    </row>
    <row r="143" s="33" customFormat="1" spans="1:14">
      <c r="A143" s="59" t="s">
        <v>1609</v>
      </c>
      <c r="B143" s="59" t="s">
        <v>1610</v>
      </c>
      <c r="C143" s="89" t="s">
        <v>1611</v>
      </c>
      <c r="D143" s="59" t="s">
        <v>1545</v>
      </c>
      <c r="E143" s="59">
        <v>9151</v>
      </c>
      <c r="F143" s="38" t="s">
        <v>1231</v>
      </c>
      <c r="G143" s="60" t="s">
        <v>18</v>
      </c>
      <c r="H143" s="59">
        <v>0</v>
      </c>
      <c r="I143" s="48">
        <v>4</v>
      </c>
      <c r="J143" s="48"/>
      <c r="K143" s="61" t="s">
        <v>1612</v>
      </c>
      <c r="L143" s="42" t="s">
        <v>1632</v>
      </c>
      <c r="M143" s="59"/>
      <c r="N143" s="39" t="s">
        <v>1627</v>
      </c>
    </row>
    <row r="144" s="33" customFormat="1" spans="1:14">
      <c r="A144" s="59"/>
      <c r="B144" s="59"/>
      <c r="C144" s="59"/>
      <c r="D144" s="59"/>
      <c r="E144" s="59"/>
      <c r="F144" s="38"/>
      <c r="G144" s="60" t="s">
        <v>20</v>
      </c>
      <c r="H144" s="59">
        <v>4</v>
      </c>
      <c r="I144" s="48">
        <v>4</v>
      </c>
      <c r="J144" s="48"/>
      <c r="K144" s="63"/>
      <c r="L144" s="44"/>
      <c r="M144" s="59"/>
      <c r="N144" s="39"/>
    </row>
    <row r="145" s="33" customFormat="1" spans="1:14">
      <c r="A145" s="59"/>
      <c r="B145" s="59"/>
      <c r="C145" s="59"/>
      <c r="D145" s="59"/>
      <c r="E145" s="59"/>
      <c r="F145" s="38"/>
      <c r="G145" s="59" t="s">
        <v>1550</v>
      </c>
      <c r="H145" s="59">
        <v>8</v>
      </c>
      <c r="I145" s="65">
        <v>4</v>
      </c>
      <c r="J145" s="48"/>
      <c r="K145" s="66"/>
      <c r="L145" s="47"/>
      <c r="M145" s="59"/>
      <c r="N145" s="39"/>
    </row>
    <row r="146" s="33" customFormat="1" spans="1:14">
      <c r="A146" s="59" t="s">
        <v>1615</v>
      </c>
      <c r="B146" s="59" t="s">
        <v>1616</v>
      </c>
      <c r="C146" s="89" t="s">
        <v>1611</v>
      </c>
      <c r="D146" s="59" t="s">
        <v>1545</v>
      </c>
      <c r="E146" s="38">
        <v>9201</v>
      </c>
      <c r="F146" s="59" t="s">
        <v>1231</v>
      </c>
      <c r="G146" s="60" t="s">
        <v>18</v>
      </c>
      <c r="H146" s="59">
        <v>0</v>
      </c>
      <c r="I146" s="48">
        <v>4</v>
      </c>
      <c r="J146" s="48"/>
      <c r="K146" s="61" t="s">
        <v>1612</v>
      </c>
      <c r="L146" s="42" t="s">
        <v>1626</v>
      </c>
      <c r="M146" s="59"/>
      <c r="N146" s="39" t="s">
        <v>1627</v>
      </c>
    </row>
    <row r="147" s="33" customFormat="1" spans="1:14">
      <c r="A147" s="59"/>
      <c r="B147" s="59"/>
      <c r="C147" s="59"/>
      <c r="D147" s="59"/>
      <c r="E147" s="38"/>
      <c r="F147" s="59"/>
      <c r="G147" s="60" t="s">
        <v>20</v>
      </c>
      <c r="H147" s="59">
        <v>4</v>
      </c>
      <c r="I147" s="48">
        <v>4</v>
      </c>
      <c r="J147" s="48"/>
      <c r="K147" s="63"/>
      <c r="L147" s="44"/>
      <c r="M147" s="59"/>
      <c r="N147" s="39"/>
    </row>
    <row r="148" s="33" customFormat="1" spans="1:14">
      <c r="A148" s="59"/>
      <c r="B148" s="59"/>
      <c r="C148" s="59"/>
      <c r="D148" s="59"/>
      <c r="E148" s="38"/>
      <c r="F148" s="59"/>
      <c r="G148" s="59" t="s">
        <v>1550</v>
      </c>
      <c r="H148" s="59">
        <v>8</v>
      </c>
      <c r="I148" s="65">
        <v>4</v>
      </c>
      <c r="J148" s="48"/>
      <c r="K148" s="66"/>
      <c r="L148" s="47"/>
      <c r="M148" s="59"/>
      <c r="N148" s="39"/>
    </row>
    <row r="149" s="33" customFormat="1" spans="1:14">
      <c r="A149" s="59" t="s">
        <v>1618</v>
      </c>
      <c r="B149" s="59" t="s">
        <v>1619</v>
      </c>
      <c r="C149" s="89" t="s">
        <v>1611</v>
      </c>
      <c r="D149" s="59" t="s">
        <v>1545</v>
      </c>
      <c r="E149" s="59">
        <v>9211</v>
      </c>
      <c r="F149" s="38" t="s">
        <v>1231</v>
      </c>
      <c r="G149" s="60" t="s">
        <v>18</v>
      </c>
      <c r="H149" s="59">
        <v>0</v>
      </c>
      <c r="I149" s="48">
        <v>4</v>
      </c>
      <c r="J149" s="48"/>
      <c r="K149" s="61" t="s">
        <v>1612</v>
      </c>
      <c r="L149" s="42" t="s">
        <v>1628</v>
      </c>
      <c r="M149" s="59"/>
      <c r="N149" s="39" t="s">
        <v>1627</v>
      </c>
    </row>
    <row r="150" s="33" customFormat="1" spans="1:14">
      <c r="A150" s="59"/>
      <c r="B150" s="59"/>
      <c r="C150" s="59"/>
      <c r="D150" s="59"/>
      <c r="E150" s="59"/>
      <c r="F150" s="38"/>
      <c r="G150" s="60" t="s">
        <v>20</v>
      </c>
      <c r="H150" s="59">
        <v>4</v>
      </c>
      <c r="I150" s="48">
        <v>4</v>
      </c>
      <c r="J150" s="48"/>
      <c r="K150" s="63"/>
      <c r="L150" s="44"/>
      <c r="M150" s="59"/>
      <c r="N150" s="39"/>
    </row>
    <row r="151" s="33" customFormat="1" spans="1:14">
      <c r="A151" s="59"/>
      <c r="B151" s="59"/>
      <c r="C151" s="59"/>
      <c r="D151" s="59"/>
      <c r="E151" s="59"/>
      <c r="F151" s="38"/>
      <c r="G151" s="59" t="s">
        <v>1550</v>
      </c>
      <c r="H151" s="59">
        <v>8</v>
      </c>
      <c r="I151" s="65">
        <v>4</v>
      </c>
      <c r="J151" s="48"/>
      <c r="K151" s="66"/>
      <c r="L151" s="47"/>
      <c r="M151" s="59"/>
      <c r="N151" s="39"/>
    </row>
    <row r="152" s="33" customFormat="1" spans="1:14">
      <c r="A152" s="59" t="s">
        <v>1621</v>
      </c>
      <c r="B152" s="59" t="s">
        <v>1622</v>
      </c>
      <c r="C152" s="89" t="s">
        <v>1611</v>
      </c>
      <c r="D152" s="59" t="s">
        <v>1545</v>
      </c>
      <c r="E152" s="59">
        <v>9221</v>
      </c>
      <c r="F152" s="38" t="s">
        <v>1231</v>
      </c>
      <c r="G152" s="60" t="s">
        <v>18</v>
      </c>
      <c r="H152" s="59">
        <v>0</v>
      </c>
      <c r="I152" s="48">
        <v>4</v>
      </c>
      <c r="J152" s="48"/>
      <c r="K152" s="61" t="s">
        <v>1612</v>
      </c>
      <c r="L152" s="42" t="s">
        <v>1629</v>
      </c>
      <c r="M152" s="59"/>
      <c r="N152" s="39" t="s">
        <v>1627</v>
      </c>
    </row>
    <row r="153" s="33" customFormat="1" spans="1:14">
      <c r="A153" s="59"/>
      <c r="B153" s="59"/>
      <c r="C153" s="59"/>
      <c r="D153" s="59"/>
      <c r="E153" s="59"/>
      <c r="F153" s="38"/>
      <c r="G153" s="60" t="s">
        <v>20</v>
      </c>
      <c r="H153" s="59">
        <v>4</v>
      </c>
      <c r="I153" s="48">
        <v>4</v>
      </c>
      <c r="J153" s="48"/>
      <c r="K153" s="63"/>
      <c r="L153" s="44"/>
      <c r="M153" s="59"/>
      <c r="N153" s="39"/>
    </row>
    <row r="154" s="33" customFormat="1" spans="1:14">
      <c r="A154" s="59"/>
      <c r="B154" s="59"/>
      <c r="C154" s="59"/>
      <c r="D154" s="59"/>
      <c r="E154" s="59"/>
      <c r="F154" s="38"/>
      <c r="G154" s="59" t="s">
        <v>1550</v>
      </c>
      <c r="H154" s="59">
        <v>8</v>
      </c>
      <c r="I154" s="65">
        <v>4</v>
      </c>
      <c r="J154" s="48"/>
      <c r="K154" s="66"/>
      <c r="L154" s="47"/>
      <c r="M154" s="59"/>
      <c r="N154" s="39"/>
    </row>
    <row r="155" s="33" customFormat="1" spans="1:14">
      <c r="A155" s="59" t="s">
        <v>1609</v>
      </c>
      <c r="B155" s="59" t="s">
        <v>1610</v>
      </c>
      <c r="C155" s="89" t="s">
        <v>1611</v>
      </c>
      <c r="D155" s="59" t="s">
        <v>1545</v>
      </c>
      <c r="E155" s="59">
        <v>9231</v>
      </c>
      <c r="F155" s="38" t="s">
        <v>1231</v>
      </c>
      <c r="G155" s="60" t="s">
        <v>18</v>
      </c>
      <c r="H155" s="59">
        <v>0</v>
      </c>
      <c r="I155" s="48">
        <v>4</v>
      </c>
      <c r="J155" s="48"/>
      <c r="K155" s="61" t="s">
        <v>1612</v>
      </c>
      <c r="L155" s="42" t="s">
        <v>1630</v>
      </c>
      <c r="M155" s="59"/>
      <c r="N155" s="39" t="s">
        <v>1627</v>
      </c>
    </row>
    <row r="156" s="33" customFormat="1" spans="1:14">
      <c r="A156" s="59"/>
      <c r="B156" s="59"/>
      <c r="C156" s="59"/>
      <c r="D156" s="59"/>
      <c r="E156" s="59"/>
      <c r="F156" s="38"/>
      <c r="G156" s="60" t="s">
        <v>20</v>
      </c>
      <c r="H156" s="59">
        <v>4</v>
      </c>
      <c r="I156" s="48">
        <v>4</v>
      </c>
      <c r="J156" s="48"/>
      <c r="K156" s="63"/>
      <c r="L156" s="44"/>
      <c r="M156" s="59"/>
      <c r="N156" s="39"/>
    </row>
    <row r="157" s="33" customFormat="1" spans="1:14">
      <c r="A157" s="59"/>
      <c r="B157" s="59"/>
      <c r="C157" s="59"/>
      <c r="D157" s="59"/>
      <c r="E157" s="59"/>
      <c r="F157" s="38"/>
      <c r="G157" s="59" t="s">
        <v>1550</v>
      </c>
      <c r="H157" s="59">
        <v>8</v>
      </c>
      <c r="I157" s="65">
        <v>4</v>
      </c>
      <c r="J157" s="48"/>
      <c r="K157" s="66"/>
      <c r="L157" s="47"/>
      <c r="M157" s="59"/>
      <c r="N157" s="39"/>
    </row>
    <row r="158" s="33" customFormat="1" spans="1:14">
      <c r="A158" s="59" t="s">
        <v>1615</v>
      </c>
      <c r="B158" s="59" t="s">
        <v>1616</v>
      </c>
      <c r="C158" s="89" t="s">
        <v>1611</v>
      </c>
      <c r="D158" s="59" t="s">
        <v>1545</v>
      </c>
      <c r="E158" s="59">
        <v>9241</v>
      </c>
      <c r="F158" s="38" t="s">
        <v>1231</v>
      </c>
      <c r="G158" s="60" t="s">
        <v>18</v>
      </c>
      <c r="H158" s="59">
        <v>0</v>
      </c>
      <c r="I158" s="48">
        <v>4</v>
      </c>
      <c r="J158" s="48"/>
      <c r="K158" s="61" t="s">
        <v>1612</v>
      </c>
      <c r="L158" s="42" t="s">
        <v>1631</v>
      </c>
      <c r="M158" s="59"/>
      <c r="N158" s="39" t="s">
        <v>1627</v>
      </c>
    </row>
    <row r="159" s="33" customFormat="1" spans="1:14">
      <c r="A159" s="59"/>
      <c r="B159" s="59"/>
      <c r="C159" s="59"/>
      <c r="D159" s="59"/>
      <c r="E159" s="59"/>
      <c r="F159" s="38"/>
      <c r="G159" s="60" t="s">
        <v>20</v>
      </c>
      <c r="H159" s="59">
        <v>4</v>
      </c>
      <c r="I159" s="48">
        <v>4</v>
      </c>
      <c r="J159" s="48"/>
      <c r="K159" s="63"/>
      <c r="L159" s="44"/>
      <c r="M159" s="59"/>
      <c r="N159" s="39"/>
    </row>
    <row r="160" s="33" customFormat="1" spans="1:14">
      <c r="A160" s="59"/>
      <c r="B160" s="59"/>
      <c r="C160" s="59"/>
      <c r="D160" s="59"/>
      <c r="E160" s="59"/>
      <c r="F160" s="38"/>
      <c r="G160" s="59" t="s">
        <v>1550</v>
      </c>
      <c r="H160" s="59">
        <v>8</v>
      </c>
      <c r="I160" s="65">
        <v>4</v>
      </c>
      <c r="J160" s="48"/>
      <c r="K160" s="66"/>
      <c r="L160" s="47"/>
      <c r="M160" s="59"/>
      <c r="N160" s="39"/>
    </row>
    <row r="161" s="33" customFormat="1" spans="1:14">
      <c r="A161" s="59" t="s">
        <v>1618</v>
      </c>
      <c r="B161" s="59" t="s">
        <v>1619</v>
      </c>
      <c r="C161" s="89" t="s">
        <v>1611</v>
      </c>
      <c r="D161" s="59" t="s">
        <v>1545</v>
      </c>
      <c r="E161" s="59">
        <v>9251</v>
      </c>
      <c r="F161" s="38" t="s">
        <v>1231</v>
      </c>
      <c r="G161" s="60" t="s">
        <v>18</v>
      </c>
      <c r="H161" s="59">
        <v>0</v>
      </c>
      <c r="I161" s="48">
        <v>4</v>
      </c>
      <c r="J161" s="48"/>
      <c r="K161" s="61" t="s">
        <v>1612</v>
      </c>
      <c r="L161" s="42" t="s">
        <v>1632</v>
      </c>
      <c r="M161" s="59"/>
      <c r="N161" s="39" t="s">
        <v>1627</v>
      </c>
    </row>
    <row r="162" s="33" customFormat="1" spans="1:14">
      <c r="A162" s="59"/>
      <c r="B162" s="59"/>
      <c r="C162" s="59"/>
      <c r="D162" s="59"/>
      <c r="E162" s="59"/>
      <c r="F162" s="38"/>
      <c r="G162" s="60" t="s">
        <v>20</v>
      </c>
      <c r="H162" s="59">
        <v>4</v>
      </c>
      <c r="I162" s="48">
        <v>4</v>
      </c>
      <c r="J162" s="48"/>
      <c r="K162" s="63"/>
      <c r="L162" s="44"/>
      <c r="M162" s="59"/>
      <c r="N162" s="39"/>
    </row>
    <row r="163" s="33" customFormat="1" spans="1:14">
      <c r="A163" s="59"/>
      <c r="B163" s="59"/>
      <c r="C163" s="59"/>
      <c r="D163" s="59"/>
      <c r="E163" s="59"/>
      <c r="F163" s="38"/>
      <c r="G163" s="59" t="s">
        <v>1550</v>
      </c>
      <c r="H163" s="59">
        <v>8</v>
      </c>
      <c r="I163" s="65">
        <v>4</v>
      </c>
      <c r="J163" s="48"/>
      <c r="K163" s="66"/>
      <c r="L163" s="47"/>
      <c r="M163" s="59"/>
      <c r="N163" s="39"/>
    </row>
    <row r="164" spans="1:14">
      <c r="A164" s="38" t="s">
        <v>1633</v>
      </c>
      <c r="B164" s="38" t="s">
        <v>1634</v>
      </c>
      <c r="C164" s="88" t="s">
        <v>1611</v>
      </c>
      <c r="D164" s="38" t="s">
        <v>1545</v>
      </c>
      <c r="E164" s="38">
        <v>9041</v>
      </c>
      <c r="F164" s="38" t="s">
        <v>86</v>
      </c>
      <c r="G164" s="39" t="s">
        <v>18</v>
      </c>
      <c r="H164" s="38">
        <v>0</v>
      </c>
      <c r="I164" s="40">
        <v>4</v>
      </c>
      <c r="J164" s="40"/>
      <c r="K164" s="41" t="s">
        <v>1612</v>
      </c>
      <c r="L164" s="42" t="s">
        <v>1635</v>
      </c>
      <c r="M164" s="38"/>
      <c r="N164" s="39" t="s">
        <v>1636</v>
      </c>
    </row>
    <row r="165" spans="1:14">
      <c r="A165" s="38"/>
      <c r="B165" s="38"/>
      <c r="C165" s="38"/>
      <c r="D165" s="38"/>
      <c r="E165" s="38"/>
      <c r="F165" s="38"/>
      <c r="G165" s="39" t="s">
        <v>20</v>
      </c>
      <c r="H165" s="38">
        <v>4</v>
      </c>
      <c r="I165" s="40">
        <v>4</v>
      </c>
      <c r="J165" s="40"/>
      <c r="K165" s="43"/>
      <c r="L165" s="44"/>
      <c r="M165" s="38"/>
      <c r="N165" s="39"/>
    </row>
    <row r="166" spans="1:14">
      <c r="A166" s="38"/>
      <c r="B166" s="38"/>
      <c r="C166" s="38"/>
      <c r="D166" s="38"/>
      <c r="E166" s="38"/>
      <c r="F166" s="38"/>
      <c r="G166" s="38" t="s">
        <v>1550</v>
      </c>
      <c r="H166" s="38">
        <v>8</v>
      </c>
      <c r="I166" s="45">
        <v>90</v>
      </c>
      <c r="J166" s="40"/>
      <c r="K166" s="46"/>
      <c r="L166" s="47"/>
      <c r="M166" s="38"/>
      <c r="N166" s="39"/>
    </row>
    <row r="167" spans="1:14">
      <c r="A167" s="38" t="s">
        <v>1637</v>
      </c>
      <c r="B167" s="38" t="s">
        <v>1638</v>
      </c>
      <c r="C167" s="88" t="s">
        <v>1611</v>
      </c>
      <c r="D167" s="38" t="s">
        <v>1545</v>
      </c>
      <c r="E167" s="38">
        <v>9051</v>
      </c>
      <c r="F167" s="38" t="s">
        <v>86</v>
      </c>
      <c r="G167" s="39" t="s">
        <v>18</v>
      </c>
      <c r="H167" s="38">
        <v>0</v>
      </c>
      <c r="I167" s="40">
        <v>4</v>
      </c>
      <c r="J167" s="40"/>
      <c r="K167" s="41" t="s">
        <v>1612</v>
      </c>
      <c r="L167" s="42" t="s">
        <v>1639</v>
      </c>
      <c r="M167" s="38"/>
      <c r="N167" s="39" t="s">
        <v>1636</v>
      </c>
    </row>
    <row r="168" spans="1:14">
      <c r="A168" s="38"/>
      <c r="B168" s="38"/>
      <c r="C168" s="38"/>
      <c r="D168" s="38"/>
      <c r="E168" s="38"/>
      <c r="F168" s="38"/>
      <c r="G168" s="39" t="s">
        <v>20</v>
      </c>
      <c r="H168" s="38">
        <v>4</v>
      </c>
      <c r="I168" s="40">
        <v>4</v>
      </c>
      <c r="J168" s="40"/>
      <c r="K168" s="43"/>
      <c r="L168" s="44"/>
      <c r="M168" s="38"/>
      <c r="N168" s="39"/>
    </row>
    <row r="169" spans="1:14">
      <c r="A169" s="38"/>
      <c r="B169" s="38"/>
      <c r="C169" s="38"/>
      <c r="D169" s="38"/>
      <c r="E169" s="38"/>
      <c r="F169" s="38"/>
      <c r="G169" s="38" t="s">
        <v>1550</v>
      </c>
      <c r="H169" s="38">
        <v>8</v>
      </c>
      <c r="I169" s="45">
        <v>20</v>
      </c>
      <c r="J169" s="40"/>
      <c r="K169" s="46"/>
      <c r="L169" s="47"/>
      <c r="M169" s="38"/>
      <c r="N169" s="39"/>
    </row>
    <row r="170" spans="1:14">
      <c r="A170" s="38" t="s">
        <v>1640</v>
      </c>
      <c r="B170" s="38" t="s">
        <v>1641</v>
      </c>
      <c r="C170" s="88" t="s">
        <v>1611</v>
      </c>
      <c r="D170" s="38" t="s">
        <v>1545</v>
      </c>
      <c r="E170" s="38">
        <v>9061</v>
      </c>
      <c r="F170" s="48" t="s">
        <v>137</v>
      </c>
      <c r="G170" s="39" t="s">
        <v>18</v>
      </c>
      <c r="H170" s="38">
        <v>0</v>
      </c>
      <c r="I170" s="40">
        <v>4</v>
      </c>
      <c r="J170" s="40"/>
      <c r="K170" s="41" t="s">
        <v>1612</v>
      </c>
      <c r="L170" s="42" t="s">
        <v>1642</v>
      </c>
      <c r="M170" s="38"/>
      <c r="N170" s="90" t="s">
        <v>1643</v>
      </c>
    </row>
    <row r="171" spans="1:14">
      <c r="A171" s="38"/>
      <c r="B171" s="38"/>
      <c r="C171" s="38"/>
      <c r="D171" s="38"/>
      <c r="E171" s="38"/>
      <c r="F171" s="48"/>
      <c r="G171" s="39" t="s">
        <v>20</v>
      </c>
      <c r="H171" s="38">
        <v>4</v>
      </c>
      <c r="I171" s="40">
        <v>4</v>
      </c>
      <c r="J171" s="40"/>
      <c r="K171" s="43"/>
      <c r="L171" s="44"/>
      <c r="M171" s="38"/>
      <c r="N171" s="39"/>
    </row>
    <row r="172" spans="1:14">
      <c r="A172" s="38"/>
      <c r="B172" s="38"/>
      <c r="C172" s="38"/>
      <c r="D172" s="38"/>
      <c r="E172" s="38"/>
      <c r="F172" s="48"/>
      <c r="G172" s="38" t="s">
        <v>1550</v>
      </c>
      <c r="H172" s="38">
        <v>8</v>
      </c>
      <c r="I172" s="45">
        <v>1028</v>
      </c>
      <c r="J172" s="40"/>
      <c r="K172" s="46"/>
      <c r="L172" s="47"/>
      <c r="M172" s="38"/>
      <c r="N172" s="39"/>
    </row>
    <row r="173" ht="17" customHeight="1" spans="1:14">
      <c r="A173" s="38" t="s">
        <v>1644</v>
      </c>
      <c r="B173" s="38" t="s">
        <v>1645</v>
      </c>
      <c r="C173" s="88" t="s">
        <v>1611</v>
      </c>
      <c r="D173" s="38" t="s">
        <v>1545</v>
      </c>
      <c r="E173" s="38">
        <v>9071</v>
      </c>
      <c r="F173" s="48" t="s">
        <v>137</v>
      </c>
      <c r="G173" s="39" t="s">
        <v>18</v>
      </c>
      <c r="H173" s="38">
        <v>0</v>
      </c>
      <c r="I173" s="40">
        <v>4</v>
      </c>
      <c r="J173" s="40"/>
      <c r="K173" s="41" t="s">
        <v>1612</v>
      </c>
      <c r="L173" s="42" t="s">
        <v>1646</v>
      </c>
      <c r="M173" s="38"/>
      <c r="N173" s="90" t="s">
        <v>1647</v>
      </c>
    </row>
    <row r="174" ht="17" customHeight="1" spans="1:14">
      <c r="A174" s="38"/>
      <c r="B174" s="38"/>
      <c r="C174" s="38"/>
      <c r="D174" s="38"/>
      <c r="E174" s="38"/>
      <c r="F174" s="48"/>
      <c r="G174" s="39" t="s">
        <v>20</v>
      </c>
      <c r="H174" s="38">
        <v>4</v>
      </c>
      <c r="I174" s="40">
        <v>4</v>
      </c>
      <c r="J174" s="40"/>
      <c r="K174" s="43"/>
      <c r="L174" s="44"/>
      <c r="M174" s="38"/>
      <c r="N174" s="39"/>
    </row>
    <row r="175" ht="17" customHeight="1" spans="1:14">
      <c r="A175" s="38"/>
      <c r="B175" s="38"/>
      <c r="C175" s="38"/>
      <c r="D175" s="38"/>
      <c r="E175" s="38"/>
      <c r="F175" s="48"/>
      <c r="G175" s="38" t="s">
        <v>1550</v>
      </c>
      <c r="H175" s="38">
        <v>8</v>
      </c>
      <c r="I175" s="45">
        <v>516</v>
      </c>
      <c r="J175" s="40"/>
      <c r="K175" s="46"/>
      <c r="L175" s="47"/>
      <c r="M175" s="38"/>
      <c r="N175" s="39"/>
    </row>
    <row r="176" ht="17" customHeight="1" spans="1:14">
      <c r="A176" s="38" t="s">
        <v>1648</v>
      </c>
      <c r="B176" s="38" t="s">
        <v>1649</v>
      </c>
      <c r="C176" s="88" t="s">
        <v>1611</v>
      </c>
      <c r="D176" s="38" t="s">
        <v>1545</v>
      </c>
      <c r="E176" s="38">
        <v>9091</v>
      </c>
      <c r="F176" s="48" t="s">
        <v>137</v>
      </c>
      <c r="G176" s="39" t="s">
        <v>18</v>
      </c>
      <c r="H176" s="38">
        <v>0</v>
      </c>
      <c r="I176" s="40">
        <v>4</v>
      </c>
      <c r="J176" s="40"/>
      <c r="K176" s="41" t="s">
        <v>1612</v>
      </c>
      <c r="L176" s="42" t="s">
        <v>1650</v>
      </c>
      <c r="M176" s="38"/>
      <c r="N176" s="90" t="s">
        <v>1647</v>
      </c>
    </row>
    <row r="177" ht="17" customHeight="1" spans="1:14">
      <c r="A177" s="38"/>
      <c r="B177" s="38"/>
      <c r="C177" s="38"/>
      <c r="D177" s="38"/>
      <c r="E177" s="38"/>
      <c r="F177" s="48"/>
      <c r="G177" s="39" t="s">
        <v>20</v>
      </c>
      <c r="H177" s="38">
        <v>4</v>
      </c>
      <c r="I177" s="40">
        <v>4</v>
      </c>
      <c r="J177" s="40"/>
      <c r="K177" s="43"/>
      <c r="L177" s="44"/>
      <c r="M177" s="38"/>
      <c r="N177" s="39"/>
    </row>
    <row r="178" ht="17" customHeight="1" spans="1:14">
      <c r="A178" s="38"/>
      <c r="B178" s="38"/>
      <c r="C178" s="38"/>
      <c r="D178" s="38"/>
      <c r="E178" s="38"/>
      <c r="F178" s="48"/>
      <c r="G178" s="38" t="s">
        <v>1550</v>
      </c>
      <c r="H178" s="38">
        <v>8</v>
      </c>
      <c r="I178" s="45">
        <v>80</v>
      </c>
      <c r="J178" s="40"/>
      <c r="K178" s="46"/>
      <c r="L178" s="47"/>
      <c r="M178" s="38"/>
      <c r="N178" s="39"/>
    </row>
    <row r="179" spans="1:14">
      <c r="A179" s="38" t="s">
        <v>1651</v>
      </c>
      <c r="B179" s="38" t="s">
        <v>1652</v>
      </c>
      <c r="C179" s="88" t="s">
        <v>1653</v>
      </c>
      <c r="D179" s="38" t="s">
        <v>1545</v>
      </c>
      <c r="E179" s="38">
        <v>9002</v>
      </c>
      <c r="F179" s="38" t="s">
        <v>86</v>
      </c>
      <c r="G179" s="39" t="s">
        <v>18</v>
      </c>
      <c r="H179" s="38">
        <v>0</v>
      </c>
      <c r="I179" s="40">
        <v>4</v>
      </c>
      <c r="J179" s="40"/>
      <c r="K179" s="41" t="s">
        <v>1612</v>
      </c>
      <c r="L179" s="42" t="s">
        <v>1613</v>
      </c>
      <c r="M179" s="38"/>
      <c r="N179" s="39" t="s">
        <v>1614</v>
      </c>
    </row>
    <row r="180" spans="1:14">
      <c r="A180" s="38"/>
      <c r="B180" s="38"/>
      <c r="C180" s="38"/>
      <c r="D180" s="38"/>
      <c r="E180" s="38"/>
      <c r="F180" s="38"/>
      <c r="G180" s="39" t="s">
        <v>20</v>
      </c>
      <c r="H180" s="38">
        <v>4</v>
      </c>
      <c r="I180" s="40">
        <v>4</v>
      </c>
      <c r="J180" s="40"/>
      <c r="K180" s="43"/>
      <c r="L180" s="44"/>
      <c r="M180" s="38"/>
      <c r="N180" s="39"/>
    </row>
    <row r="181" spans="1:14">
      <c r="A181" s="38"/>
      <c r="B181" s="38"/>
      <c r="C181" s="38"/>
      <c r="D181" s="38"/>
      <c r="E181" s="38"/>
      <c r="F181" s="38"/>
      <c r="G181" s="38" t="s">
        <v>1550</v>
      </c>
      <c r="H181" s="38">
        <v>8</v>
      </c>
      <c r="I181" s="45">
        <v>13</v>
      </c>
      <c r="J181" s="40"/>
      <c r="K181" s="46"/>
      <c r="L181" s="47"/>
      <c r="M181" s="38"/>
      <c r="N181" s="39"/>
    </row>
    <row r="182" spans="1:14">
      <c r="A182" s="38" t="s">
        <v>1654</v>
      </c>
      <c r="B182" s="38" t="s">
        <v>1655</v>
      </c>
      <c r="C182" s="88" t="s">
        <v>1653</v>
      </c>
      <c r="D182" s="38" t="s">
        <v>1545</v>
      </c>
      <c r="E182" s="38">
        <v>9012</v>
      </c>
      <c r="F182" s="38" t="s">
        <v>86</v>
      </c>
      <c r="G182" s="39" t="s">
        <v>18</v>
      </c>
      <c r="H182" s="38">
        <v>0</v>
      </c>
      <c r="I182" s="40">
        <v>4</v>
      </c>
      <c r="J182" s="40"/>
      <c r="K182" s="41" t="s">
        <v>1612</v>
      </c>
      <c r="L182" s="42" t="s">
        <v>1617</v>
      </c>
      <c r="M182" s="38"/>
      <c r="N182" s="39" t="s">
        <v>1614</v>
      </c>
    </row>
    <row r="183" spans="1:14">
      <c r="A183" s="38"/>
      <c r="B183" s="38"/>
      <c r="C183" s="38"/>
      <c r="D183" s="38"/>
      <c r="E183" s="38"/>
      <c r="F183" s="38"/>
      <c r="G183" s="39" t="s">
        <v>20</v>
      </c>
      <c r="H183" s="38">
        <v>4</v>
      </c>
      <c r="I183" s="40">
        <v>4</v>
      </c>
      <c r="J183" s="40"/>
      <c r="K183" s="43"/>
      <c r="L183" s="44"/>
      <c r="M183" s="38"/>
      <c r="N183" s="39"/>
    </row>
    <row r="184" spans="1:14">
      <c r="A184" s="38"/>
      <c r="B184" s="38"/>
      <c r="C184" s="38"/>
      <c r="D184" s="38"/>
      <c r="E184" s="38"/>
      <c r="F184" s="38"/>
      <c r="G184" s="38" t="s">
        <v>1550</v>
      </c>
      <c r="H184" s="38">
        <v>8</v>
      </c>
      <c r="I184" s="45">
        <v>16</v>
      </c>
      <c r="J184" s="40"/>
      <c r="K184" s="46"/>
      <c r="L184" s="47"/>
      <c r="M184" s="38"/>
      <c r="N184" s="39"/>
    </row>
    <row r="185" spans="1:14">
      <c r="A185" s="38" t="s">
        <v>1656</v>
      </c>
      <c r="B185" s="38" t="s">
        <v>1657</v>
      </c>
      <c r="C185" s="88" t="s">
        <v>1653</v>
      </c>
      <c r="D185" s="38" t="s">
        <v>1545</v>
      </c>
      <c r="E185" s="38">
        <v>9022</v>
      </c>
      <c r="F185" s="38" t="s">
        <v>86</v>
      </c>
      <c r="G185" s="39" t="s">
        <v>18</v>
      </c>
      <c r="H185" s="38">
        <v>0</v>
      </c>
      <c r="I185" s="40">
        <v>4</v>
      </c>
      <c r="J185" s="40"/>
      <c r="K185" s="41" t="s">
        <v>1612</v>
      </c>
      <c r="L185" s="42" t="s">
        <v>1620</v>
      </c>
      <c r="M185" s="38"/>
      <c r="N185" s="39" t="s">
        <v>1614</v>
      </c>
    </row>
    <row r="186" spans="1:14">
      <c r="A186" s="38"/>
      <c r="B186" s="38"/>
      <c r="C186" s="38"/>
      <c r="D186" s="38"/>
      <c r="E186" s="38"/>
      <c r="F186" s="38"/>
      <c r="G186" s="39" t="s">
        <v>20</v>
      </c>
      <c r="H186" s="38">
        <v>4</v>
      </c>
      <c r="I186" s="40">
        <v>4</v>
      </c>
      <c r="J186" s="40"/>
      <c r="K186" s="43"/>
      <c r="L186" s="44"/>
      <c r="M186" s="38"/>
      <c r="N186" s="39"/>
    </row>
    <row r="187" spans="1:14">
      <c r="A187" s="38"/>
      <c r="B187" s="38"/>
      <c r="C187" s="38"/>
      <c r="D187" s="38"/>
      <c r="E187" s="38"/>
      <c r="F187" s="38"/>
      <c r="G187" s="38" t="s">
        <v>1550</v>
      </c>
      <c r="H187" s="38">
        <v>8</v>
      </c>
      <c r="I187" s="45">
        <v>16</v>
      </c>
      <c r="J187" s="40"/>
      <c r="K187" s="46"/>
      <c r="L187" s="47"/>
      <c r="M187" s="38"/>
      <c r="N187" s="39"/>
    </row>
    <row r="188" spans="1:14">
      <c r="A188" s="38" t="s">
        <v>1658</v>
      </c>
      <c r="B188" s="38" t="s">
        <v>1659</v>
      </c>
      <c r="C188" s="88" t="s">
        <v>1653</v>
      </c>
      <c r="D188" s="38" t="s">
        <v>1545</v>
      </c>
      <c r="E188" s="38">
        <v>9032</v>
      </c>
      <c r="F188" s="38" t="s">
        <v>86</v>
      </c>
      <c r="G188" s="39" t="s">
        <v>18</v>
      </c>
      <c r="H188" s="38">
        <v>0</v>
      </c>
      <c r="I188" s="40">
        <v>4</v>
      </c>
      <c r="J188" s="40"/>
      <c r="K188" s="41" t="s">
        <v>1612</v>
      </c>
      <c r="L188" s="42" t="s">
        <v>1623</v>
      </c>
      <c r="M188" s="38"/>
      <c r="N188" s="39" t="s">
        <v>1614</v>
      </c>
    </row>
    <row r="189" spans="1:14">
      <c r="A189" s="38"/>
      <c r="B189" s="38"/>
      <c r="C189" s="38"/>
      <c r="D189" s="38"/>
      <c r="E189" s="38"/>
      <c r="F189" s="38"/>
      <c r="G189" s="39" t="s">
        <v>20</v>
      </c>
      <c r="H189" s="38">
        <v>4</v>
      </c>
      <c r="I189" s="40">
        <v>4</v>
      </c>
      <c r="J189" s="40"/>
      <c r="K189" s="43"/>
      <c r="L189" s="44"/>
      <c r="M189" s="38"/>
      <c r="N189" s="39"/>
    </row>
    <row r="190" spans="1:14">
      <c r="A190" s="38"/>
      <c r="B190" s="38"/>
      <c r="C190" s="38"/>
      <c r="D190" s="38"/>
      <c r="E190" s="38"/>
      <c r="F190" s="38"/>
      <c r="G190" s="38" t="s">
        <v>1550</v>
      </c>
      <c r="H190" s="38">
        <v>8</v>
      </c>
      <c r="I190" s="45">
        <v>80</v>
      </c>
      <c r="J190" s="40"/>
      <c r="K190" s="46"/>
      <c r="L190" s="47"/>
      <c r="M190" s="38"/>
      <c r="N190" s="39"/>
    </row>
    <row r="191" spans="1:14">
      <c r="A191" s="38" t="s">
        <v>1660</v>
      </c>
      <c r="B191" s="38" t="s">
        <v>1661</v>
      </c>
      <c r="C191" s="88" t="s">
        <v>1653</v>
      </c>
      <c r="D191" s="38" t="s">
        <v>1545</v>
      </c>
      <c r="E191" s="38">
        <v>9102</v>
      </c>
      <c r="F191" s="38" t="s">
        <v>1231</v>
      </c>
      <c r="G191" s="39" t="s">
        <v>18</v>
      </c>
      <c r="H191" s="38">
        <v>0</v>
      </c>
      <c r="I191" s="40">
        <v>4</v>
      </c>
      <c r="J191" s="40"/>
      <c r="K191" s="41" t="s">
        <v>1612</v>
      </c>
      <c r="L191" s="42" t="s">
        <v>1662</v>
      </c>
      <c r="M191" s="38"/>
      <c r="N191" s="39" t="s">
        <v>1627</v>
      </c>
    </row>
    <row r="192" spans="1:14">
      <c r="A192" s="38"/>
      <c r="B192" s="38"/>
      <c r="C192" s="38"/>
      <c r="D192" s="38"/>
      <c r="E192" s="38"/>
      <c r="F192" s="38"/>
      <c r="G192" s="39" t="s">
        <v>20</v>
      </c>
      <c r="H192" s="38">
        <v>4</v>
      </c>
      <c r="I192" s="40">
        <v>4</v>
      </c>
      <c r="J192" s="40"/>
      <c r="K192" s="43"/>
      <c r="L192" s="44"/>
      <c r="M192" s="38"/>
      <c r="N192" s="39"/>
    </row>
    <row r="193" spans="1:14">
      <c r="A193" s="38"/>
      <c r="B193" s="38"/>
      <c r="C193" s="38"/>
      <c r="D193" s="38"/>
      <c r="E193" s="38"/>
      <c r="F193" s="38"/>
      <c r="G193" s="38" t="s">
        <v>1550</v>
      </c>
      <c r="H193" s="38">
        <v>8</v>
      </c>
      <c r="I193" s="45">
        <v>4</v>
      </c>
      <c r="J193" s="40"/>
      <c r="K193" s="46"/>
      <c r="L193" s="47"/>
      <c r="M193" s="38"/>
      <c r="N193" s="39"/>
    </row>
    <row r="194" s="33" customFormat="1" spans="1:14">
      <c r="A194" s="59" t="s">
        <v>1609</v>
      </c>
      <c r="B194" s="59" t="s">
        <v>1652</v>
      </c>
      <c r="C194" s="89" t="s">
        <v>1653</v>
      </c>
      <c r="D194" s="59" t="s">
        <v>1545</v>
      </c>
      <c r="E194" s="59">
        <v>9112</v>
      </c>
      <c r="F194" s="38" t="s">
        <v>1231</v>
      </c>
      <c r="G194" s="60" t="s">
        <v>18</v>
      </c>
      <c r="H194" s="59">
        <v>0</v>
      </c>
      <c r="I194" s="48">
        <v>4</v>
      </c>
      <c r="J194" s="48"/>
      <c r="K194" s="61" t="s">
        <v>1612</v>
      </c>
      <c r="L194" s="42" t="s">
        <v>1628</v>
      </c>
      <c r="M194" s="59"/>
      <c r="N194" s="39" t="s">
        <v>1627</v>
      </c>
    </row>
    <row r="195" s="33" customFormat="1" spans="1:14">
      <c r="A195" s="59"/>
      <c r="B195" s="59"/>
      <c r="C195" s="59"/>
      <c r="D195" s="59"/>
      <c r="E195" s="59"/>
      <c r="F195" s="38"/>
      <c r="G195" s="60" t="s">
        <v>20</v>
      </c>
      <c r="H195" s="59">
        <v>4</v>
      </c>
      <c r="I195" s="48">
        <v>4</v>
      </c>
      <c r="J195" s="48"/>
      <c r="K195" s="63"/>
      <c r="L195" s="44"/>
      <c r="M195" s="59"/>
      <c r="N195" s="39"/>
    </row>
    <row r="196" s="33" customFormat="1" spans="1:14">
      <c r="A196" s="59"/>
      <c r="B196" s="59"/>
      <c r="C196" s="59"/>
      <c r="D196" s="59"/>
      <c r="E196" s="59"/>
      <c r="F196" s="38"/>
      <c r="G196" s="59" t="s">
        <v>1550</v>
      </c>
      <c r="H196" s="59">
        <v>8</v>
      </c>
      <c r="I196" s="65">
        <v>4</v>
      </c>
      <c r="J196" s="48"/>
      <c r="K196" s="66"/>
      <c r="L196" s="47"/>
      <c r="M196" s="59"/>
      <c r="N196" s="39"/>
    </row>
    <row r="197" s="33" customFormat="1" spans="1:14">
      <c r="A197" s="59" t="s">
        <v>1615</v>
      </c>
      <c r="B197" s="59" t="s">
        <v>1655</v>
      </c>
      <c r="C197" s="89" t="s">
        <v>1653</v>
      </c>
      <c r="D197" s="59" t="s">
        <v>1545</v>
      </c>
      <c r="E197" s="59">
        <v>9122</v>
      </c>
      <c r="F197" s="38" t="s">
        <v>1231</v>
      </c>
      <c r="G197" s="60" t="s">
        <v>18</v>
      </c>
      <c r="H197" s="59">
        <v>0</v>
      </c>
      <c r="I197" s="48">
        <v>4</v>
      </c>
      <c r="J197" s="48"/>
      <c r="K197" s="61" t="s">
        <v>1612</v>
      </c>
      <c r="L197" s="42" t="s">
        <v>1629</v>
      </c>
      <c r="M197" s="59"/>
      <c r="N197" s="39" t="s">
        <v>1627</v>
      </c>
    </row>
    <row r="198" s="33" customFormat="1" spans="1:14">
      <c r="A198" s="59"/>
      <c r="B198" s="59"/>
      <c r="C198" s="59"/>
      <c r="D198" s="59"/>
      <c r="E198" s="59"/>
      <c r="F198" s="38"/>
      <c r="G198" s="60" t="s">
        <v>20</v>
      </c>
      <c r="H198" s="59">
        <v>4</v>
      </c>
      <c r="I198" s="48">
        <v>4</v>
      </c>
      <c r="J198" s="48"/>
      <c r="K198" s="63"/>
      <c r="L198" s="44"/>
      <c r="M198" s="59"/>
      <c r="N198" s="39"/>
    </row>
    <row r="199" s="33" customFormat="1" spans="1:14">
      <c r="A199" s="59"/>
      <c r="B199" s="59"/>
      <c r="C199" s="59"/>
      <c r="D199" s="59"/>
      <c r="E199" s="59"/>
      <c r="F199" s="38"/>
      <c r="G199" s="59" t="s">
        <v>1550</v>
      </c>
      <c r="H199" s="59">
        <v>8</v>
      </c>
      <c r="I199" s="65">
        <v>4</v>
      </c>
      <c r="J199" s="48"/>
      <c r="K199" s="66"/>
      <c r="L199" s="47"/>
      <c r="M199" s="59"/>
      <c r="N199" s="39"/>
    </row>
    <row r="200" s="33" customFormat="1" spans="1:14">
      <c r="A200" s="59" t="s">
        <v>1618</v>
      </c>
      <c r="B200" s="59" t="s">
        <v>1657</v>
      </c>
      <c r="C200" s="89" t="s">
        <v>1653</v>
      </c>
      <c r="D200" s="59" t="s">
        <v>1545</v>
      </c>
      <c r="E200" s="59">
        <v>9132</v>
      </c>
      <c r="F200" s="38" t="s">
        <v>1231</v>
      </c>
      <c r="G200" s="60" t="s">
        <v>18</v>
      </c>
      <c r="H200" s="59">
        <v>0</v>
      </c>
      <c r="I200" s="48">
        <v>4</v>
      </c>
      <c r="J200" s="48"/>
      <c r="K200" s="61" t="s">
        <v>1612</v>
      </c>
      <c r="L200" s="42" t="s">
        <v>1630</v>
      </c>
      <c r="M200" s="59"/>
      <c r="N200" s="39" t="s">
        <v>1627</v>
      </c>
    </row>
    <row r="201" s="33" customFormat="1" spans="1:14">
      <c r="A201" s="59"/>
      <c r="B201" s="59"/>
      <c r="C201" s="59"/>
      <c r="D201" s="59"/>
      <c r="E201" s="59"/>
      <c r="F201" s="38"/>
      <c r="G201" s="60" t="s">
        <v>20</v>
      </c>
      <c r="H201" s="59">
        <v>4</v>
      </c>
      <c r="I201" s="48">
        <v>4</v>
      </c>
      <c r="J201" s="48"/>
      <c r="K201" s="63"/>
      <c r="L201" s="44"/>
      <c r="M201" s="59"/>
      <c r="N201" s="39"/>
    </row>
    <row r="202" s="33" customFormat="1" spans="1:14">
      <c r="A202" s="59"/>
      <c r="B202" s="59"/>
      <c r="C202" s="59"/>
      <c r="D202" s="59"/>
      <c r="E202" s="59"/>
      <c r="F202" s="38"/>
      <c r="G202" s="59" t="s">
        <v>1550</v>
      </c>
      <c r="H202" s="59">
        <v>8</v>
      </c>
      <c r="I202" s="65">
        <v>4</v>
      </c>
      <c r="J202" s="48"/>
      <c r="K202" s="66"/>
      <c r="L202" s="47"/>
      <c r="M202" s="59"/>
      <c r="N202" s="39"/>
    </row>
    <row r="203" s="33" customFormat="1" spans="1:14">
      <c r="A203" s="59" t="s">
        <v>1621</v>
      </c>
      <c r="B203" s="59" t="s">
        <v>1659</v>
      </c>
      <c r="C203" s="89" t="s">
        <v>1653</v>
      </c>
      <c r="D203" s="59" t="s">
        <v>1545</v>
      </c>
      <c r="E203" s="59">
        <v>9142</v>
      </c>
      <c r="F203" s="38" t="s">
        <v>1231</v>
      </c>
      <c r="G203" s="60" t="s">
        <v>18</v>
      </c>
      <c r="H203" s="59">
        <v>0</v>
      </c>
      <c r="I203" s="48">
        <v>4</v>
      </c>
      <c r="J203" s="48"/>
      <c r="K203" s="61" t="s">
        <v>1612</v>
      </c>
      <c r="L203" s="42" t="s">
        <v>1631</v>
      </c>
      <c r="M203" s="59"/>
      <c r="N203" s="39" t="s">
        <v>1627</v>
      </c>
    </row>
    <row r="204" s="33" customFormat="1" spans="1:14">
      <c r="A204" s="59"/>
      <c r="B204" s="59"/>
      <c r="C204" s="59"/>
      <c r="D204" s="59"/>
      <c r="E204" s="59"/>
      <c r="F204" s="38"/>
      <c r="G204" s="60" t="s">
        <v>20</v>
      </c>
      <c r="H204" s="59">
        <v>4</v>
      </c>
      <c r="I204" s="48">
        <v>4</v>
      </c>
      <c r="J204" s="48"/>
      <c r="K204" s="63"/>
      <c r="L204" s="44"/>
      <c r="M204" s="59"/>
      <c r="N204" s="39"/>
    </row>
    <row r="205" s="33" customFormat="1" spans="1:14">
      <c r="A205" s="59"/>
      <c r="B205" s="59"/>
      <c r="C205" s="59"/>
      <c r="D205" s="59"/>
      <c r="E205" s="59"/>
      <c r="F205" s="38"/>
      <c r="G205" s="59" t="s">
        <v>1550</v>
      </c>
      <c r="H205" s="59">
        <v>8</v>
      </c>
      <c r="I205" s="65">
        <v>4</v>
      </c>
      <c r="J205" s="48"/>
      <c r="K205" s="66"/>
      <c r="L205" s="47"/>
      <c r="M205" s="59"/>
      <c r="N205" s="39"/>
    </row>
    <row r="206" s="33" customFormat="1" spans="1:14">
      <c r="A206" s="59" t="s">
        <v>1609</v>
      </c>
      <c r="B206" s="59" t="s">
        <v>1652</v>
      </c>
      <c r="C206" s="89" t="s">
        <v>1653</v>
      </c>
      <c r="D206" s="59" t="s">
        <v>1545</v>
      </c>
      <c r="E206" s="59">
        <v>9152</v>
      </c>
      <c r="F206" s="38" t="s">
        <v>1231</v>
      </c>
      <c r="G206" s="60" t="s">
        <v>18</v>
      </c>
      <c r="H206" s="59">
        <v>0</v>
      </c>
      <c r="I206" s="48">
        <v>4</v>
      </c>
      <c r="J206" s="48"/>
      <c r="K206" s="61" t="s">
        <v>1612</v>
      </c>
      <c r="L206" s="42" t="s">
        <v>1632</v>
      </c>
      <c r="M206" s="59"/>
      <c r="N206" s="39" t="s">
        <v>1627</v>
      </c>
    </row>
    <row r="207" s="33" customFormat="1" spans="1:14">
      <c r="A207" s="59"/>
      <c r="B207" s="59"/>
      <c r="C207" s="59"/>
      <c r="D207" s="59"/>
      <c r="E207" s="59"/>
      <c r="F207" s="38"/>
      <c r="G207" s="60" t="s">
        <v>20</v>
      </c>
      <c r="H207" s="59">
        <v>4</v>
      </c>
      <c r="I207" s="48">
        <v>4</v>
      </c>
      <c r="J207" s="48"/>
      <c r="K207" s="63"/>
      <c r="L207" s="44"/>
      <c r="M207" s="59"/>
      <c r="N207" s="39"/>
    </row>
    <row r="208" s="33" customFormat="1" spans="1:14">
      <c r="A208" s="59"/>
      <c r="B208" s="59"/>
      <c r="C208" s="59"/>
      <c r="D208" s="59"/>
      <c r="E208" s="59"/>
      <c r="F208" s="38"/>
      <c r="G208" s="59" t="s">
        <v>1550</v>
      </c>
      <c r="H208" s="59">
        <v>8</v>
      </c>
      <c r="I208" s="65">
        <v>4</v>
      </c>
      <c r="J208" s="48"/>
      <c r="K208" s="66"/>
      <c r="L208" s="47"/>
      <c r="M208" s="59"/>
      <c r="N208" s="39"/>
    </row>
    <row r="209" s="33" customFormat="1" spans="1:14">
      <c r="A209" s="59" t="s">
        <v>1615</v>
      </c>
      <c r="B209" s="59" t="s">
        <v>1655</v>
      </c>
      <c r="C209" s="89" t="s">
        <v>1653</v>
      </c>
      <c r="D209" s="59" t="s">
        <v>1545</v>
      </c>
      <c r="E209" s="38">
        <v>9202</v>
      </c>
      <c r="F209" s="59" t="s">
        <v>1231</v>
      </c>
      <c r="G209" s="60" t="s">
        <v>18</v>
      </c>
      <c r="H209" s="59">
        <v>0</v>
      </c>
      <c r="I209" s="48">
        <v>4</v>
      </c>
      <c r="J209" s="48"/>
      <c r="K209" s="61" t="s">
        <v>1612</v>
      </c>
      <c r="L209" s="42" t="s">
        <v>1626</v>
      </c>
      <c r="M209" s="59"/>
      <c r="N209" s="39" t="s">
        <v>1627</v>
      </c>
    </row>
    <row r="210" s="33" customFormat="1" spans="1:14">
      <c r="A210" s="59"/>
      <c r="B210" s="59"/>
      <c r="C210" s="59"/>
      <c r="D210" s="59"/>
      <c r="E210" s="38"/>
      <c r="F210" s="59"/>
      <c r="G210" s="60" t="s">
        <v>20</v>
      </c>
      <c r="H210" s="59">
        <v>4</v>
      </c>
      <c r="I210" s="48">
        <v>4</v>
      </c>
      <c r="J210" s="48"/>
      <c r="K210" s="63"/>
      <c r="L210" s="44"/>
      <c r="M210" s="59"/>
      <c r="N210" s="39"/>
    </row>
    <row r="211" s="33" customFormat="1" spans="1:14">
      <c r="A211" s="59"/>
      <c r="B211" s="59"/>
      <c r="C211" s="59"/>
      <c r="D211" s="59"/>
      <c r="E211" s="38"/>
      <c r="F211" s="59"/>
      <c r="G211" s="59" t="s">
        <v>1550</v>
      </c>
      <c r="H211" s="59">
        <v>8</v>
      </c>
      <c r="I211" s="65">
        <v>4</v>
      </c>
      <c r="J211" s="48"/>
      <c r="K211" s="66"/>
      <c r="L211" s="47"/>
      <c r="M211" s="59"/>
      <c r="N211" s="39"/>
    </row>
    <row r="212" s="33" customFormat="1" spans="1:14">
      <c r="A212" s="59" t="s">
        <v>1618</v>
      </c>
      <c r="B212" s="59" t="s">
        <v>1657</v>
      </c>
      <c r="C212" s="89" t="s">
        <v>1653</v>
      </c>
      <c r="D212" s="59" t="s">
        <v>1545</v>
      </c>
      <c r="E212" s="59">
        <v>9212</v>
      </c>
      <c r="F212" s="38" t="s">
        <v>1231</v>
      </c>
      <c r="G212" s="60" t="s">
        <v>18</v>
      </c>
      <c r="H212" s="59">
        <v>0</v>
      </c>
      <c r="I212" s="48">
        <v>4</v>
      </c>
      <c r="J212" s="48"/>
      <c r="K212" s="61" t="s">
        <v>1612</v>
      </c>
      <c r="L212" s="42" t="s">
        <v>1628</v>
      </c>
      <c r="M212" s="59"/>
      <c r="N212" s="39" t="s">
        <v>1627</v>
      </c>
    </row>
    <row r="213" s="33" customFormat="1" spans="1:14">
      <c r="A213" s="59"/>
      <c r="B213" s="59"/>
      <c r="C213" s="59"/>
      <c r="D213" s="59"/>
      <c r="E213" s="59"/>
      <c r="F213" s="38"/>
      <c r="G213" s="60" t="s">
        <v>20</v>
      </c>
      <c r="H213" s="59">
        <v>4</v>
      </c>
      <c r="I213" s="48">
        <v>4</v>
      </c>
      <c r="J213" s="48"/>
      <c r="K213" s="63"/>
      <c r="L213" s="44"/>
      <c r="M213" s="59"/>
      <c r="N213" s="39"/>
    </row>
    <row r="214" s="33" customFormat="1" spans="1:14">
      <c r="A214" s="59"/>
      <c r="B214" s="59"/>
      <c r="C214" s="59"/>
      <c r="D214" s="59"/>
      <c r="E214" s="59"/>
      <c r="F214" s="38"/>
      <c r="G214" s="59" t="s">
        <v>1550</v>
      </c>
      <c r="H214" s="59">
        <v>8</v>
      </c>
      <c r="I214" s="65">
        <v>4</v>
      </c>
      <c r="J214" s="48"/>
      <c r="K214" s="66"/>
      <c r="L214" s="47"/>
      <c r="M214" s="59"/>
      <c r="N214" s="39"/>
    </row>
    <row r="215" s="33" customFormat="1" spans="1:14">
      <c r="A215" s="59" t="s">
        <v>1621</v>
      </c>
      <c r="B215" s="59" t="s">
        <v>1659</v>
      </c>
      <c r="C215" s="89" t="s">
        <v>1653</v>
      </c>
      <c r="D215" s="59" t="s">
        <v>1545</v>
      </c>
      <c r="E215" s="59">
        <v>9222</v>
      </c>
      <c r="F215" s="38" t="s">
        <v>1231</v>
      </c>
      <c r="G215" s="60" t="s">
        <v>18</v>
      </c>
      <c r="H215" s="59">
        <v>0</v>
      </c>
      <c r="I215" s="48">
        <v>4</v>
      </c>
      <c r="J215" s="48"/>
      <c r="K215" s="61" t="s">
        <v>1612</v>
      </c>
      <c r="L215" s="42" t="s">
        <v>1629</v>
      </c>
      <c r="M215" s="59"/>
      <c r="N215" s="39" t="s">
        <v>1627</v>
      </c>
    </row>
    <row r="216" s="33" customFormat="1" spans="1:14">
      <c r="A216" s="59"/>
      <c r="B216" s="59"/>
      <c r="C216" s="59"/>
      <c r="D216" s="59"/>
      <c r="E216" s="59"/>
      <c r="F216" s="38"/>
      <c r="G216" s="60" t="s">
        <v>20</v>
      </c>
      <c r="H216" s="59">
        <v>4</v>
      </c>
      <c r="I216" s="48">
        <v>4</v>
      </c>
      <c r="J216" s="48"/>
      <c r="K216" s="63"/>
      <c r="L216" s="44"/>
      <c r="M216" s="59"/>
      <c r="N216" s="39"/>
    </row>
    <row r="217" s="33" customFormat="1" spans="1:14">
      <c r="A217" s="59"/>
      <c r="B217" s="59"/>
      <c r="C217" s="59"/>
      <c r="D217" s="59"/>
      <c r="E217" s="59"/>
      <c r="F217" s="38"/>
      <c r="G217" s="59" t="s">
        <v>1550</v>
      </c>
      <c r="H217" s="59">
        <v>8</v>
      </c>
      <c r="I217" s="65">
        <v>4</v>
      </c>
      <c r="J217" s="48"/>
      <c r="K217" s="66"/>
      <c r="L217" s="47"/>
      <c r="M217" s="59"/>
      <c r="N217" s="39"/>
    </row>
    <row r="218" s="33" customFormat="1" spans="1:14">
      <c r="A218" s="59" t="s">
        <v>1609</v>
      </c>
      <c r="B218" s="59" t="s">
        <v>1652</v>
      </c>
      <c r="C218" s="89" t="s">
        <v>1653</v>
      </c>
      <c r="D218" s="59" t="s">
        <v>1545</v>
      </c>
      <c r="E218" s="59">
        <v>9232</v>
      </c>
      <c r="F218" s="38" t="s">
        <v>1231</v>
      </c>
      <c r="G218" s="60" t="s">
        <v>18</v>
      </c>
      <c r="H218" s="59">
        <v>0</v>
      </c>
      <c r="I218" s="48">
        <v>4</v>
      </c>
      <c r="J218" s="48"/>
      <c r="K218" s="61" t="s">
        <v>1612</v>
      </c>
      <c r="L218" s="42" t="s">
        <v>1630</v>
      </c>
      <c r="M218" s="59"/>
      <c r="N218" s="39" t="s">
        <v>1627</v>
      </c>
    </row>
    <row r="219" s="33" customFormat="1" spans="1:14">
      <c r="A219" s="59"/>
      <c r="B219" s="59"/>
      <c r="C219" s="59"/>
      <c r="D219" s="59"/>
      <c r="E219" s="59"/>
      <c r="F219" s="38"/>
      <c r="G219" s="60" t="s">
        <v>20</v>
      </c>
      <c r="H219" s="59">
        <v>4</v>
      </c>
      <c r="I219" s="48">
        <v>4</v>
      </c>
      <c r="J219" s="48"/>
      <c r="K219" s="63"/>
      <c r="L219" s="44"/>
      <c r="M219" s="59"/>
      <c r="N219" s="39"/>
    </row>
    <row r="220" s="33" customFormat="1" spans="1:14">
      <c r="A220" s="59"/>
      <c r="B220" s="59"/>
      <c r="C220" s="59"/>
      <c r="D220" s="59"/>
      <c r="E220" s="59"/>
      <c r="F220" s="38"/>
      <c r="G220" s="59" t="s">
        <v>1550</v>
      </c>
      <c r="H220" s="59">
        <v>8</v>
      </c>
      <c r="I220" s="65">
        <v>4</v>
      </c>
      <c r="J220" s="48"/>
      <c r="K220" s="66"/>
      <c r="L220" s="47"/>
      <c r="M220" s="59"/>
      <c r="N220" s="39"/>
    </row>
    <row r="221" s="33" customFormat="1" spans="1:14">
      <c r="A221" s="59" t="s">
        <v>1615</v>
      </c>
      <c r="B221" s="59" t="s">
        <v>1655</v>
      </c>
      <c r="C221" s="89" t="s">
        <v>1653</v>
      </c>
      <c r="D221" s="59" t="s">
        <v>1545</v>
      </c>
      <c r="E221" s="59">
        <v>9242</v>
      </c>
      <c r="F221" s="38" t="s">
        <v>1231</v>
      </c>
      <c r="G221" s="60" t="s">
        <v>18</v>
      </c>
      <c r="H221" s="59">
        <v>0</v>
      </c>
      <c r="I221" s="48">
        <v>4</v>
      </c>
      <c r="J221" s="48"/>
      <c r="K221" s="61" t="s">
        <v>1612</v>
      </c>
      <c r="L221" s="42" t="s">
        <v>1631</v>
      </c>
      <c r="M221" s="59"/>
      <c r="N221" s="39" t="s">
        <v>1627</v>
      </c>
    </row>
    <row r="222" s="33" customFormat="1" spans="1:14">
      <c r="A222" s="59"/>
      <c r="B222" s="59"/>
      <c r="C222" s="59"/>
      <c r="D222" s="59"/>
      <c r="E222" s="59"/>
      <c r="F222" s="38"/>
      <c r="G222" s="60" t="s">
        <v>20</v>
      </c>
      <c r="H222" s="59">
        <v>4</v>
      </c>
      <c r="I222" s="48">
        <v>4</v>
      </c>
      <c r="J222" s="48"/>
      <c r="K222" s="63"/>
      <c r="L222" s="44"/>
      <c r="M222" s="59"/>
      <c r="N222" s="39"/>
    </row>
    <row r="223" s="33" customFormat="1" spans="1:14">
      <c r="A223" s="59"/>
      <c r="B223" s="59"/>
      <c r="C223" s="59"/>
      <c r="D223" s="59"/>
      <c r="E223" s="59"/>
      <c r="F223" s="38"/>
      <c r="G223" s="59" t="s">
        <v>1550</v>
      </c>
      <c r="H223" s="59">
        <v>8</v>
      </c>
      <c r="I223" s="65">
        <v>4</v>
      </c>
      <c r="J223" s="48"/>
      <c r="K223" s="66"/>
      <c r="L223" s="47"/>
      <c r="M223" s="59"/>
      <c r="N223" s="39"/>
    </row>
    <row r="224" s="33" customFormat="1" spans="1:14">
      <c r="A224" s="59" t="s">
        <v>1618</v>
      </c>
      <c r="B224" s="59" t="s">
        <v>1619</v>
      </c>
      <c r="C224" s="89" t="s">
        <v>1653</v>
      </c>
      <c r="D224" s="59" t="s">
        <v>1545</v>
      </c>
      <c r="E224" s="59">
        <v>9252</v>
      </c>
      <c r="F224" s="38" t="s">
        <v>1231</v>
      </c>
      <c r="G224" s="60" t="s">
        <v>18</v>
      </c>
      <c r="H224" s="59">
        <v>0</v>
      </c>
      <c r="I224" s="48">
        <v>4</v>
      </c>
      <c r="J224" s="48"/>
      <c r="K224" s="61" t="s">
        <v>1612</v>
      </c>
      <c r="L224" s="42" t="s">
        <v>1632</v>
      </c>
      <c r="M224" s="59"/>
      <c r="N224" s="39" t="s">
        <v>1627</v>
      </c>
    </row>
    <row r="225" s="33" customFormat="1" spans="1:14">
      <c r="A225" s="59"/>
      <c r="B225" s="59"/>
      <c r="C225" s="59"/>
      <c r="D225" s="59"/>
      <c r="E225" s="59"/>
      <c r="F225" s="38"/>
      <c r="G225" s="60" t="s">
        <v>20</v>
      </c>
      <c r="H225" s="59">
        <v>4</v>
      </c>
      <c r="I225" s="48">
        <v>4</v>
      </c>
      <c r="J225" s="48"/>
      <c r="K225" s="63"/>
      <c r="L225" s="44"/>
      <c r="M225" s="59"/>
      <c r="N225" s="39"/>
    </row>
    <row r="226" s="33" customFormat="1" spans="1:14">
      <c r="A226" s="59"/>
      <c r="B226" s="59"/>
      <c r="C226" s="59"/>
      <c r="D226" s="59"/>
      <c r="E226" s="59"/>
      <c r="F226" s="38"/>
      <c r="G226" s="59" t="s">
        <v>1550</v>
      </c>
      <c r="H226" s="59">
        <v>8</v>
      </c>
      <c r="I226" s="65">
        <v>4</v>
      </c>
      <c r="J226" s="48"/>
      <c r="K226" s="66"/>
      <c r="L226" s="47"/>
      <c r="M226" s="59"/>
      <c r="N226" s="39"/>
    </row>
    <row r="227" spans="1:14">
      <c r="A227" s="38" t="s">
        <v>1663</v>
      </c>
      <c r="B227" s="38" t="s">
        <v>1664</v>
      </c>
      <c r="C227" s="88" t="s">
        <v>1653</v>
      </c>
      <c r="D227" s="38" t="s">
        <v>1545</v>
      </c>
      <c r="E227" s="38">
        <v>9042</v>
      </c>
      <c r="F227" s="38" t="s">
        <v>86</v>
      </c>
      <c r="G227" s="39" t="s">
        <v>18</v>
      </c>
      <c r="H227" s="38">
        <v>0</v>
      </c>
      <c r="I227" s="40">
        <v>4</v>
      </c>
      <c r="J227" s="40"/>
      <c r="K227" s="41" t="s">
        <v>1612</v>
      </c>
      <c r="L227" s="42" t="s">
        <v>1635</v>
      </c>
      <c r="M227" s="38"/>
      <c r="N227" s="39" t="s">
        <v>1636</v>
      </c>
    </row>
    <row r="228" spans="1:14">
      <c r="A228" s="38"/>
      <c r="B228" s="38"/>
      <c r="C228" s="38"/>
      <c r="D228" s="38"/>
      <c r="E228" s="38"/>
      <c r="F228" s="38"/>
      <c r="G228" s="39" t="s">
        <v>20</v>
      </c>
      <c r="H228" s="38">
        <v>4</v>
      </c>
      <c r="I228" s="40">
        <v>4</v>
      </c>
      <c r="J228" s="40"/>
      <c r="K228" s="43"/>
      <c r="L228" s="44"/>
      <c r="M228" s="38"/>
      <c r="N228" s="39"/>
    </row>
    <row r="229" spans="1:14">
      <c r="A229" s="38"/>
      <c r="B229" s="38"/>
      <c r="C229" s="38"/>
      <c r="D229" s="38"/>
      <c r="E229" s="38"/>
      <c r="F229" s="38"/>
      <c r="G229" s="38" t="s">
        <v>1550</v>
      </c>
      <c r="H229" s="38">
        <v>8</v>
      </c>
      <c r="I229" s="45">
        <v>90</v>
      </c>
      <c r="J229" s="40"/>
      <c r="K229" s="46"/>
      <c r="L229" s="47"/>
      <c r="M229" s="38"/>
      <c r="N229" s="39"/>
    </row>
    <row r="230" spans="1:14">
      <c r="A230" s="38" t="s">
        <v>1665</v>
      </c>
      <c r="B230" s="38" t="s">
        <v>1666</v>
      </c>
      <c r="C230" s="88" t="s">
        <v>1653</v>
      </c>
      <c r="D230" s="38" t="s">
        <v>1545</v>
      </c>
      <c r="E230" s="38">
        <v>9052</v>
      </c>
      <c r="F230" s="38" t="s">
        <v>86</v>
      </c>
      <c r="G230" s="39" t="s">
        <v>18</v>
      </c>
      <c r="H230" s="38">
        <v>0</v>
      </c>
      <c r="I230" s="40">
        <v>4</v>
      </c>
      <c r="J230" s="40"/>
      <c r="K230" s="41" t="s">
        <v>1612</v>
      </c>
      <c r="L230" s="42" t="s">
        <v>1639</v>
      </c>
      <c r="M230" s="38"/>
      <c r="N230" s="39" t="s">
        <v>1636</v>
      </c>
    </row>
    <row r="231" spans="1:14">
      <c r="A231" s="38"/>
      <c r="B231" s="38"/>
      <c r="C231" s="38"/>
      <c r="D231" s="38"/>
      <c r="E231" s="38"/>
      <c r="F231" s="38"/>
      <c r="G231" s="39" t="s">
        <v>20</v>
      </c>
      <c r="H231" s="38">
        <v>4</v>
      </c>
      <c r="I231" s="40">
        <v>4</v>
      </c>
      <c r="J231" s="40"/>
      <c r="K231" s="43"/>
      <c r="L231" s="44"/>
      <c r="M231" s="38"/>
      <c r="N231" s="39"/>
    </row>
    <row r="232" spans="1:14">
      <c r="A232" s="38"/>
      <c r="B232" s="38"/>
      <c r="C232" s="38"/>
      <c r="D232" s="38"/>
      <c r="E232" s="38"/>
      <c r="F232" s="38"/>
      <c r="G232" s="38" t="s">
        <v>1550</v>
      </c>
      <c r="H232" s="38">
        <v>8</v>
      </c>
      <c r="I232" s="45">
        <v>20</v>
      </c>
      <c r="J232" s="40"/>
      <c r="K232" s="46"/>
      <c r="L232" s="47"/>
      <c r="M232" s="38"/>
      <c r="N232" s="39"/>
    </row>
    <row r="233" spans="1:14">
      <c r="A233" s="38" t="s">
        <v>1667</v>
      </c>
      <c r="B233" s="38" t="s">
        <v>1641</v>
      </c>
      <c r="C233" s="88" t="s">
        <v>1653</v>
      </c>
      <c r="D233" s="38" t="s">
        <v>1545</v>
      </c>
      <c r="E233" s="38">
        <v>9062</v>
      </c>
      <c r="F233" s="48" t="s">
        <v>137</v>
      </c>
      <c r="G233" s="39" t="s">
        <v>18</v>
      </c>
      <c r="H233" s="38">
        <v>0</v>
      </c>
      <c r="I233" s="40">
        <v>4</v>
      </c>
      <c r="J233" s="40"/>
      <c r="K233" s="41" t="s">
        <v>1612</v>
      </c>
      <c r="L233" s="42" t="s">
        <v>1642</v>
      </c>
      <c r="M233" s="38"/>
      <c r="N233" s="90" t="s">
        <v>1643</v>
      </c>
    </row>
    <row r="234" spans="1:14">
      <c r="A234" s="38"/>
      <c r="B234" s="38"/>
      <c r="C234" s="38"/>
      <c r="D234" s="38"/>
      <c r="E234" s="38"/>
      <c r="F234" s="48"/>
      <c r="G234" s="39" t="s">
        <v>20</v>
      </c>
      <c r="H234" s="38">
        <v>4</v>
      </c>
      <c r="I234" s="40">
        <v>4</v>
      </c>
      <c r="J234" s="40"/>
      <c r="K234" s="43"/>
      <c r="L234" s="44"/>
      <c r="M234" s="38"/>
      <c r="N234" s="39"/>
    </row>
    <row r="235" spans="1:14">
      <c r="A235" s="38"/>
      <c r="B235" s="38"/>
      <c r="C235" s="38"/>
      <c r="D235" s="38"/>
      <c r="E235" s="38"/>
      <c r="F235" s="48"/>
      <c r="G235" s="38" t="s">
        <v>1550</v>
      </c>
      <c r="H235" s="38">
        <v>8</v>
      </c>
      <c r="I235" s="45">
        <v>1028</v>
      </c>
      <c r="J235" s="40"/>
      <c r="K235" s="46"/>
      <c r="L235" s="47"/>
      <c r="M235" s="38"/>
      <c r="N235" s="39"/>
    </row>
    <row r="236" ht="17" customHeight="1" spans="1:14">
      <c r="A236" s="38" t="s">
        <v>1668</v>
      </c>
      <c r="B236" s="38" t="s">
        <v>1645</v>
      </c>
      <c r="C236" s="88" t="s">
        <v>1653</v>
      </c>
      <c r="D236" s="38" t="s">
        <v>1545</v>
      </c>
      <c r="E236" s="38">
        <v>9072</v>
      </c>
      <c r="F236" s="48" t="s">
        <v>137</v>
      </c>
      <c r="G236" s="39" t="s">
        <v>18</v>
      </c>
      <c r="H236" s="38">
        <v>0</v>
      </c>
      <c r="I236" s="40">
        <v>4</v>
      </c>
      <c r="J236" s="40"/>
      <c r="K236" s="41" t="s">
        <v>1612</v>
      </c>
      <c r="L236" s="42" t="s">
        <v>1646</v>
      </c>
      <c r="M236" s="38"/>
      <c r="N236" s="90" t="s">
        <v>1647</v>
      </c>
    </row>
    <row r="237" ht="17" customHeight="1" spans="1:14">
      <c r="A237" s="38"/>
      <c r="B237" s="38"/>
      <c r="C237" s="38"/>
      <c r="D237" s="38"/>
      <c r="E237" s="38"/>
      <c r="F237" s="48"/>
      <c r="G237" s="39" t="s">
        <v>20</v>
      </c>
      <c r="H237" s="38">
        <v>4</v>
      </c>
      <c r="I237" s="40">
        <v>4</v>
      </c>
      <c r="J237" s="40"/>
      <c r="K237" s="43"/>
      <c r="L237" s="44"/>
      <c r="M237" s="38"/>
      <c r="N237" s="39"/>
    </row>
    <row r="238" ht="17" customHeight="1" spans="1:14">
      <c r="A238" s="38"/>
      <c r="B238" s="38"/>
      <c r="C238" s="38"/>
      <c r="D238" s="38"/>
      <c r="E238" s="38"/>
      <c r="F238" s="48"/>
      <c r="G238" s="38" t="s">
        <v>1550</v>
      </c>
      <c r="H238" s="38">
        <v>8</v>
      </c>
      <c r="I238" s="45">
        <v>516</v>
      </c>
      <c r="J238" s="40"/>
      <c r="K238" s="46"/>
      <c r="L238" s="47"/>
      <c r="M238" s="38"/>
      <c r="N238" s="39"/>
    </row>
    <row r="239" ht="17" customHeight="1" spans="1:14">
      <c r="A239" s="38" t="s">
        <v>1669</v>
      </c>
      <c r="B239" s="38" t="s">
        <v>1649</v>
      </c>
      <c r="C239" s="88" t="s">
        <v>1653</v>
      </c>
      <c r="D239" s="38" t="s">
        <v>1545</v>
      </c>
      <c r="E239" s="38">
        <v>9092</v>
      </c>
      <c r="F239" s="48" t="s">
        <v>137</v>
      </c>
      <c r="G239" s="39" t="s">
        <v>18</v>
      </c>
      <c r="H239" s="38">
        <v>0</v>
      </c>
      <c r="I239" s="40">
        <v>4</v>
      </c>
      <c r="J239" s="40"/>
      <c r="K239" s="41" t="s">
        <v>1612</v>
      </c>
      <c r="L239" s="42" t="s">
        <v>1650</v>
      </c>
      <c r="M239" s="38"/>
      <c r="N239" s="90" t="s">
        <v>1647</v>
      </c>
    </row>
    <row r="240" ht="17" customHeight="1" spans="1:14">
      <c r="A240" s="38"/>
      <c r="B240" s="38"/>
      <c r="C240" s="38"/>
      <c r="D240" s="38"/>
      <c r="E240" s="38"/>
      <c r="F240" s="48"/>
      <c r="G240" s="39" t="s">
        <v>20</v>
      </c>
      <c r="H240" s="38">
        <v>4</v>
      </c>
      <c r="I240" s="40">
        <v>4</v>
      </c>
      <c r="J240" s="40"/>
      <c r="K240" s="43"/>
      <c r="L240" s="44"/>
      <c r="M240" s="38"/>
      <c r="N240" s="39"/>
    </row>
    <row r="241" ht="17" customHeight="1" spans="1:14">
      <c r="A241" s="38"/>
      <c r="B241" s="38"/>
      <c r="C241" s="38"/>
      <c r="D241" s="38"/>
      <c r="E241" s="38"/>
      <c r="F241" s="48"/>
      <c r="G241" s="38" t="s">
        <v>1550</v>
      </c>
      <c r="H241" s="38">
        <v>8</v>
      </c>
      <c r="I241" s="45">
        <v>80</v>
      </c>
      <c r="J241" s="40"/>
      <c r="K241" s="46"/>
      <c r="L241" s="47"/>
      <c r="M241" s="38"/>
      <c r="N241" s="39"/>
    </row>
    <row r="242" spans="1:14">
      <c r="A242" s="38" t="s">
        <v>1670</v>
      </c>
      <c r="B242" s="38" t="s">
        <v>1671</v>
      </c>
      <c r="C242" s="88" t="s">
        <v>1672</v>
      </c>
      <c r="D242" s="38" t="s">
        <v>1545</v>
      </c>
      <c r="E242" s="38">
        <v>9003</v>
      </c>
      <c r="F242" s="38" t="s">
        <v>86</v>
      </c>
      <c r="G242" s="39" t="s">
        <v>18</v>
      </c>
      <c r="H242" s="38">
        <v>0</v>
      </c>
      <c r="I242" s="40">
        <v>4</v>
      </c>
      <c r="J242" s="40"/>
      <c r="K242" s="41" t="s">
        <v>1612</v>
      </c>
      <c r="L242" s="42" t="s">
        <v>1613</v>
      </c>
      <c r="M242" s="38"/>
      <c r="N242" s="39" t="s">
        <v>1614</v>
      </c>
    </row>
    <row r="243" spans="1:14">
      <c r="A243" s="38"/>
      <c r="B243" s="38"/>
      <c r="C243" s="38"/>
      <c r="D243" s="38"/>
      <c r="E243" s="38"/>
      <c r="F243" s="38"/>
      <c r="G243" s="39" t="s">
        <v>20</v>
      </c>
      <c r="H243" s="38">
        <v>4</v>
      </c>
      <c r="I243" s="40">
        <v>4</v>
      </c>
      <c r="J243" s="40"/>
      <c r="K243" s="43"/>
      <c r="L243" s="44"/>
      <c r="M243" s="38"/>
      <c r="N243" s="39"/>
    </row>
    <row r="244" spans="1:14">
      <c r="A244" s="38"/>
      <c r="B244" s="38"/>
      <c r="C244" s="38"/>
      <c r="D244" s="38"/>
      <c r="E244" s="38"/>
      <c r="F244" s="38"/>
      <c r="G244" s="38" t="s">
        <v>1550</v>
      </c>
      <c r="H244" s="38">
        <v>8</v>
      </c>
      <c r="I244" s="45">
        <v>13</v>
      </c>
      <c r="J244" s="40"/>
      <c r="K244" s="46"/>
      <c r="L244" s="47"/>
      <c r="M244" s="38"/>
      <c r="N244" s="39"/>
    </row>
    <row r="245" spans="1:14">
      <c r="A245" s="38" t="s">
        <v>1673</v>
      </c>
      <c r="B245" s="38" t="s">
        <v>1674</v>
      </c>
      <c r="C245" s="88" t="s">
        <v>1672</v>
      </c>
      <c r="D245" s="38" t="s">
        <v>1545</v>
      </c>
      <c r="E245" s="38">
        <v>9013</v>
      </c>
      <c r="F245" s="38" t="s">
        <v>86</v>
      </c>
      <c r="G245" s="39" t="s">
        <v>18</v>
      </c>
      <c r="H245" s="38">
        <v>0</v>
      </c>
      <c r="I245" s="40">
        <v>4</v>
      </c>
      <c r="J245" s="40"/>
      <c r="K245" s="41" t="s">
        <v>1612</v>
      </c>
      <c r="L245" s="42" t="s">
        <v>1617</v>
      </c>
      <c r="M245" s="38"/>
      <c r="N245" s="39" t="s">
        <v>1614</v>
      </c>
    </row>
    <row r="246" spans="1:14">
      <c r="A246" s="38"/>
      <c r="B246" s="38"/>
      <c r="C246" s="38"/>
      <c r="D246" s="38"/>
      <c r="E246" s="38"/>
      <c r="F246" s="38"/>
      <c r="G246" s="39" t="s">
        <v>20</v>
      </c>
      <c r="H246" s="38">
        <v>4</v>
      </c>
      <c r="I246" s="40">
        <v>4</v>
      </c>
      <c r="J246" s="40"/>
      <c r="K246" s="43"/>
      <c r="L246" s="44"/>
      <c r="M246" s="38"/>
      <c r="N246" s="39"/>
    </row>
    <row r="247" spans="1:14">
      <c r="A247" s="38"/>
      <c r="B247" s="38"/>
      <c r="C247" s="38"/>
      <c r="D247" s="38"/>
      <c r="E247" s="38"/>
      <c r="F247" s="38"/>
      <c r="G247" s="38" t="s">
        <v>1550</v>
      </c>
      <c r="H247" s="38">
        <v>8</v>
      </c>
      <c r="I247" s="45">
        <v>12</v>
      </c>
      <c r="J247" s="40"/>
      <c r="K247" s="46"/>
      <c r="L247" s="47"/>
      <c r="M247" s="38"/>
      <c r="N247" s="39"/>
    </row>
    <row r="248" s="33" customFormat="1" spans="1:14">
      <c r="A248" s="59" t="s">
        <v>1609</v>
      </c>
      <c r="B248" s="59" t="s">
        <v>1671</v>
      </c>
      <c r="C248" s="89" t="s">
        <v>1672</v>
      </c>
      <c r="D248" s="59" t="s">
        <v>1545</v>
      </c>
      <c r="E248" s="59">
        <v>9113</v>
      </c>
      <c r="F248" s="38" t="s">
        <v>1231</v>
      </c>
      <c r="G248" s="60" t="s">
        <v>18</v>
      </c>
      <c r="H248" s="59">
        <v>0</v>
      </c>
      <c r="I248" s="48">
        <v>4</v>
      </c>
      <c r="J248" s="48"/>
      <c r="K248" s="61" t="s">
        <v>1612</v>
      </c>
      <c r="L248" s="42" t="s">
        <v>1628</v>
      </c>
      <c r="M248" s="59"/>
      <c r="N248" s="39" t="s">
        <v>1627</v>
      </c>
    </row>
    <row r="249" s="33" customFormat="1" spans="1:14">
      <c r="A249" s="59"/>
      <c r="B249" s="59"/>
      <c r="C249" s="59"/>
      <c r="D249" s="59"/>
      <c r="E249" s="59"/>
      <c r="F249" s="38"/>
      <c r="G249" s="60" t="s">
        <v>20</v>
      </c>
      <c r="H249" s="59">
        <v>4</v>
      </c>
      <c r="I249" s="48">
        <v>4</v>
      </c>
      <c r="J249" s="48"/>
      <c r="K249" s="63"/>
      <c r="L249" s="44"/>
      <c r="M249" s="59"/>
      <c r="N249" s="39"/>
    </row>
    <row r="250" s="33" customFormat="1" spans="1:14">
      <c r="A250" s="59"/>
      <c r="B250" s="59"/>
      <c r="C250" s="59"/>
      <c r="D250" s="59"/>
      <c r="E250" s="59"/>
      <c r="F250" s="38"/>
      <c r="G250" s="59" t="s">
        <v>1550</v>
      </c>
      <c r="H250" s="59">
        <v>8</v>
      </c>
      <c r="I250" s="65">
        <v>4</v>
      </c>
      <c r="J250" s="48"/>
      <c r="K250" s="66"/>
      <c r="L250" s="47"/>
      <c r="M250" s="59"/>
      <c r="N250" s="39"/>
    </row>
    <row r="251" s="33" customFormat="1" spans="1:14">
      <c r="A251" s="59" t="s">
        <v>1615</v>
      </c>
      <c r="B251" s="59" t="s">
        <v>1674</v>
      </c>
      <c r="C251" s="89" t="s">
        <v>1672</v>
      </c>
      <c r="D251" s="59" t="s">
        <v>1545</v>
      </c>
      <c r="E251" s="59">
        <v>9123</v>
      </c>
      <c r="F251" s="38" t="s">
        <v>1231</v>
      </c>
      <c r="G251" s="60" t="s">
        <v>18</v>
      </c>
      <c r="H251" s="59">
        <v>0</v>
      </c>
      <c r="I251" s="48">
        <v>4</v>
      </c>
      <c r="J251" s="48"/>
      <c r="K251" s="61" t="s">
        <v>1612</v>
      </c>
      <c r="L251" s="42" t="s">
        <v>1629</v>
      </c>
      <c r="M251" s="59"/>
      <c r="N251" s="39" t="s">
        <v>1627</v>
      </c>
    </row>
    <row r="252" s="33" customFormat="1" spans="1:14">
      <c r="A252" s="59"/>
      <c r="B252" s="59"/>
      <c r="C252" s="59"/>
      <c r="D252" s="59"/>
      <c r="E252" s="59"/>
      <c r="F252" s="38"/>
      <c r="G252" s="60" t="s">
        <v>20</v>
      </c>
      <c r="H252" s="59">
        <v>4</v>
      </c>
      <c r="I252" s="48">
        <v>4</v>
      </c>
      <c r="J252" s="48"/>
      <c r="K252" s="63"/>
      <c r="L252" s="44"/>
      <c r="M252" s="59"/>
      <c r="N252" s="39"/>
    </row>
    <row r="253" s="33" customFormat="1" spans="1:14">
      <c r="A253" s="59"/>
      <c r="B253" s="59"/>
      <c r="C253" s="59"/>
      <c r="D253" s="59"/>
      <c r="E253" s="59"/>
      <c r="F253" s="38"/>
      <c r="G253" s="59" t="s">
        <v>1550</v>
      </c>
      <c r="H253" s="59">
        <v>8</v>
      </c>
      <c r="I253" s="65">
        <v>4</v>
      </c>
      <c r="J253" s="48"/>
      <c r="K253" s="66"/>
      <c r="L253" s="47"/>
      <c r="M253" s="59"/>
      <c r="N253" s="39"/>
    </row>
    <row r="254" s="33" customFormat="1" spans="1:14">
      <c r="A254" s="59" t="s">
        <v>1618</v>
      </c>
      <c r="B254" s="59" t="s">
        <v>1675</v>
      </c>
      <c r="C254" s="89" t="s">
        <v>1672</v>
      </c>
      <c r="D254" s="59" t="s">
        <v>1545</v>
      </c>
      <c r="E254" s="59">
        <v>9133</v>
      </c>
      <c r="F254" s="38" t="s">
        <v>1231</v>
      </c>
      <c r="G254" s="60" t="s">
        <v>18</v>
      </c>
      <c r="H254" s="59">
        <v>0</v>
      </c>
      <c r="I254" s="48">
        <v>4</v>
      </c>
      <c r="J254" s="48"/>
      <c r="K254" s="61" t="s">
        <v>1612</v>
      </c>
      <c r="L254" s="42" t="s">
        <v>1630</v>
      </c>
      <c r="M254" s="59"/>
      <c r="N254" s="39" t="s">
        <v>1627</v>
      </c>
    </row>
    <row r="255" s="33" customFormat="1" spans="1:14">
      <c r="A255" s="59"/>
      <c r="B255" s="59"/>
      <c r="C255" s="59"/>
      <c r="D255" s="59"/>
      <c r="E255" s="59"/>
      <c r="F255" s="38"/>
      <c r="G255" s="60" t="s">
        <v>20</v>
      </c>
      <c r="H255" s="59">
        <v>4</v>
      </c>
      <c r="I255" s="48">
        <v>4</v>
      </c>
      <c r="J255" s="48"/>
      <c r="K255" s="63"/>
      <c r="L255" s="44"/>
      <c r="M255" s="59"/>
      <c r="N255" s="39"/>
    </row>
    <row r="256" s="33" customFormat="1" spans="1:14">
      <c r="A256" s="59"/>
      <c r="B256" s="59"/>
      <c r="C256" s="59"/>
      <c r="D256" s="59"/>
      <c r="E256" s="59"/>
      <c r="F256" s="38"/>
      <c r="G256" s="59" t="s">
        <v>1550</v>
      </c>
      <c r="H256" s="59">
        <v>8</v>
      </c>
      <c r="I256" s="65">
        <v>4</v>
      </c>
      <c r="J256" s="48"/>
      <c r="K256" s="66"/>
      <c r="L256" s="47"/>
      <c r="M256" s="59"/>
      <c r="N256" s="39"/>
    </row>
    <row r="257" s="33" customFormat="1" spans="1:14">
      <c r="A257" s="59" t="s">
        <v>1621</v>
      </c>
      <c r="B257" s="59" t="s">
        <v>1676</v>
      </c>
      <c r="C257" s="89" t="s">
        <v>1672</v>
      </c>
      <c r="D257" s="59" t="s">
        <v>1545</v>
      </c>
      <c r="E257" s="59">
        <v>9143</v>
      </c>
      <c r="F257" s="38" t="s">
        <v>1231</v>
      </c>
      <c r="G257" s="60" t="s">
        <v>18</v>
      </c>
      <c r="H257" s="59">
        <v>0</v>
      </c>
      <c r="I257" s="48">
        <v>4</v>
      </c>
      <c r="J257" s="48"/>
      <c r="K257" s="61" t="s">
        <v>1612</v>
      </c>
      <c r="L257" s="42" t="s">
        <v>1631</v>
      </c>
      <c r="M257" s="59"/>
      <c r="N257" s="39" t="s">
        <v>1627</v>
      </c>
    </row>
    <row r="258" s="33" customFormat="1" spans="1:14">
      <c r="A258" s="59"/>
      <c r="B258" s="59"/>
      <c r="C258" s="59"/>
      <c r="D258" s="59"/>
      <c r="E258" s="59"/>
      <c r="F258" s="38"/>
      <c r="G258" s="60" t="s">
        <v>20</v>
      </c>
      <c r="H258" s="59">
        <v>4</v>
      </c>
      <c r="I258" s="48">
        <v>4</v>
      </c>
      <c r="J258" s="48"/>
      <c r="K258" s="63"/>
      <c r="L258" s="44"/>
      <c r="M258" s="59"/>
      <c r="N258" s="39"/>
    </row>
    <row r="259" s="33" customFormat="1" spans="1:14">
      <c r="A259" s="59"/>
      <c r="B259" s="59"/>
      <c r="C259" s="59"/>
      <c r="D259" s="59"/>
      <c r="E259" s="59"/>
      <c r="F259" s="38"/>
      <c r="G259" s="59" t="s">
        <v>1550</v>
      </c>
      <c r="H259" s="59">
        <v>8</v>
      </c>
      <c r="I259" s="65">
        <v>4</v>
      </c>
      <c r="J259" s="48"/>
      <c r="K259" s="66"/>
      <c r="L259" s="47"/>
      <c r="M259" s="59"/>
      <c r="N259" s="39"/>
    </row>
    <row r="260" s="33" customFormat="1" spans="1:14">
      <c r="A260" s="59" t="s">
        <v>1609</v>
      </c>
      <c r="B260" s="59" t="s">
        <v>1671</v>
      </c>
      <c r="C260" s="89" t="s">
        <v>1672</v>
      </c>
      <c r="D260" s="59" t="s">
        <v>1545</v>
      </c>
      <c r="E260" s="59">
        <v>9153</v>
      </c>
      <c r="F260" s="38" t="s">
        <v>1231</v>
      </c>
      <c r="G260" s="60" t="s">
        <v>18</v>
      </c>
      <c r="H260" s="59">
        <v>0</v>
      </c>
      <c r="I260" s="48">
        <v>4</v>
      </c>
      <c r="J260" s="48"/>
      <c r="K260" s="61" t="s">
        <v>1612</v>
      </c>
      <c r="L260" s="42" t="s">
        <v>1632</v>
      </c>
      <c r="M260" s="59"/>
      <c r="N260" s="39" t="s">
        <v>1627</v>
      </c>
    </row>
    <row r="261" s="33" customFormat="1" spans="1:14">
      <c r="A261" s="59"/>
      <c r="B261" s="59"/>
      <c r="C261" s="59"/>
      <c r="D261" s="59"/>
      <c r="E261" s="59"/>
      <c r="F261" s="38"/>
      <c r="G261" s="60" t="s">
        <v>20</v>
      </c>
      <c r="H261" s="59">
        <v>4</v>
      </c>
      <c r="I261" s="48">
        <v>4</v>
      </c>
      <c r="J261" s="48"/>
      <c r="K261" s="63"/>
      <c r="L261" s="44"/>
      <c r="M261" s="59"/>
      <c r="N261" s="39"/>
    </row>
    <row r="262" s="33" customFormat="1" spans="1:14">
      <c r="A262" s="59"/>
      <c r="B262" s="59"/>
      <c r="C262" s="59"/>
      <c r="D262" s="59"/>
      <c r="E262" s="59"/>
      <c r="F262" s="38"/>
      <c r="G262" s="59" t="s">
        <v>1550</v>
      </c>
      <c r="H262" s="59">
        <v>8</v>
      </c>
      <c r="I262" s="65">
        <v>4</v>
      </c>
      <c r="J262" s="48"/>
      <c r="K262" s="66"/>
      <c r="L262" s="47"/>
      <c r="M262" s="59"/>
      <c r="N262" s="39"/>
    </row>
    <row r="263" s="33" customFormat="1" spans="1:14">
      <c r="A263" s="59" t="s">
        <v>1615</v>
      </c>
      <c r="B263" s="59" t="s">
        <v>1674</v>
      </c>
      <c r="C263" s="89" t="s">
        <v>1672</v>
      </c>
      <c r="D263" s="59" t="s">
        <v>1545</v>
      </c>
      <c r="E263" s="38">
        <v>9203</v>
      </c>
      <c r="F263" s="59" t="s">
        <v>1231</v>
      </c>
      <c r="G263" s="60" t="s">
        <v>18</v>
      </c>
      <c r="H263" s="59">
        <v>0</v>
      </c>
      <c r="I263" s="48">
        <v>4</v>
      </c>
      <c r="J263" s="48"/>
      <c r="K263" s="61" t="s">
        <v>1612</v>
      </c>
      <c r="L263" s="42" t="s">
        <v>1626</v>
      </c>
      <c r="M263" s="59"/>
      <c r="N263" s="39" t="s">
        <v>1627</v>
      </c>
    </row>
    <row r="264" s="33" customFormat="1" spans="1:14">
      <c r="A264" s="59"/>
      <c r="B264" s="59"/>
      <c r="C264" s="59"/>
      <c r="D264" s="59"/>
      <c r="E264" s="38"/>
      <c r="F264" s="59"/>
      <c r="G264" s="60" t="s">
        <v>20</v>
      </c>
      <c r="H264" s="59">
        <v>4</v>
      </c>
      <c r="I264" s="48">
        <v>4</v>
      </c>
      <c r="J264" s="48"/>
      <c r="K264" s="63"/>
      <c r="L264" s="44"/>
      <c r="M264" s="59"/>
      <c r="N264" s="39"/>
    </row>
    <row r="265" s="33" customFormat="1" spans="1:14">
      <c r="A265" s="59"/>
      <c r="B265" s="59"/>
      <c r="C265" s="59"/>
      <c r="D265" s="59"/>
      <c r="E265" s="38"/>
      <c r="F265" s="59"/>
      <c r="G265" s="59" t="s">
        <v>1550</v>
      </c>
      <c r="H265" s="59">
        <v>8</v>
      </c>
      <c r="I265" s="65">
        <v>4</v>
      </c>
      <c r="J265" s="48"/>
      <c r="K265" s="66"/>
      <c r="L265" s="47"/>
      <c r="M265" s="59"/>
      <c r="N265" s="39"/>
    </row>
    <row r="266" s="33" customFormat="1" spans="1:14">
      <c r="A266" s="59" t="s">
        <v>1618</v>
      </c>
      <c r="B266" s="59" t="s">
        <v>1675</v>
      </c>
      <c r="C266" s="89" t="s">
        <v>1672</v>
      </c>
      <c r="D266" s="59" t="s">
        <v>1545</v>
      </c>
      <c r="E266" s="59">
        <v>9213</v>
      </c>
      <c r="F266" s="38" t="s">
        <v>1231</v>
      </c>
      <c r="G266" s="60" t="s">
        <v>18</v>
      </c>
      <c r="H266" s="59">
        <v>0</v>
      </c>
      <c r="I266" s="48">
        <v>4</v>
      </c>
      <c r="J266" s="48"/>
      <c r="K266" s="61" t="s">
        <v>1612</v>
      </c>
      <c r="L266" s="42" t="s">
        <v>1628</v>
      </c>
      <c r="M266" s="59"/>
      <c r="N266" s="39" t="s">
        <v>1627</v>
      </c>
    </row>
    <row r="267" s="33" customFormat="1" spans="1:14">
      <c r="A267" s="59"/>
      <c r="B267" s="59"/>
      <c r="C267" s="59"/>
      <c r="D267" s="59"/>
      <c r="E267" s="59"/>
      <c r="F267" s="38"/>
      <c r="G267" s="60" t="s">
        <v>20</v>
      </c>
      <c r="H267" s="59">
        <v>4</v>
      </c>
      <c r="I267" s="48">
        <v>4</v>
      </c>
      <c r="J267" s="48"/>
      <c r="K267" s="63"/>
      <c r="L267" s="44"/>
      <c r="M267" s="59"/>
      <c r="N267" s="39"/>
    </row>
    <row r="268" s="33" customFormat="1" spans="1:14">
      <c r="A268" s="59"/>
      <c r="B268" s="59"/>
      <c r="C268" s="59"/>
      <c r="D268" s="59"/>
      <c r="E268" s="59"/>
      <c r="F268" s="38"/>
      <c r="G268" s="59" t="s">
        <v>1550</v>
      </c>
      <c r="H268" s="59">
        <v>8</v>
      </c>
      <c r="I268" s="65">
        <v>4</v>
      </c>
      <c r="J268" s="48"/>
      <c r="K268" s="66"/>
      <c r="L268" s="47"/>
      <c r="M268" s="59"/>
      <c r="N268" s="39"/>
    </row>
    <row r="269" s="33" customFormat="1" spans="1:14">
      <c r="A269" s="59" t="s">
        <v>1621</v>
      </c>
      <c r="B269" s="59" t="s">
        <v>1676</v>
      </c>
      <c r="C269" s="89" t="s">
        <v>1672</v>
      </c>
      <c r="D269" s="59" t="s">
        <v>1545</v>
      </c>
      <c r="E269" s="59">
        <v>9223</v>
      </c>
      <c r="F269" s="38" t="s">
        <v>1231</v>
      </c>
      <c r="G269" s="60" t="s">
        <v>18</v>
      </c>
      <c r="H269" s="59">
        <v>0</v>
      </c>
      <c r="I269" s="48">
        <v>4</v>
      </c>
      <c r="J269" s="48"/>
      <c r="K269" s="61" t="s">
        <v>1612</v>
      </c>
      <c r="L269" s="42" t="s">
        <v>1629</v>
      </c>
      <c r="M269" s="59"/>
      <c r="N269" s="39" t="s">
        <v>1627</v>
      </c>
    </row>
    <row r="270" s="33" customFormat="1" spans="1:14">
      <c r="A270" s="59"/>
      <c r="B270" s="59"/>
      <c r="C270" s="59"/>
      <c r="D270" s="59"/>
      <c r="E270" s="59"/>
      <c r="F270" s="38"/>
      <c r="G270" s="60" t="s">
        <v>20</v>
      </c>
      <c r="H270" s="59">
        <v>4</v>
      </c>
      <c r="I270" s="48">
        <v>4</v>
      </c>
      <c r="J270" s="48"/>
      <c r="K270" s="63"/>
      <c r="L270" s="44"/>
      <c r="M270" s="59"/>
      <c r="N270" s="39"/>
    </row>
    <row r="271" s="33" customFormat="1" spans="1:14">
      <c r="A271" s="59"/>
      <c r="B271" s="59"/>
      <c r="C271" s="59"/>
      <c r="D271" s="59"/>
      <c r="E271" s="59"/>
      <c r="F271" s="38"/>
      <c r="G271" s="59" t="s">
        <v>1550</v>
      </c>
      <c r="H271" s="59">
        <v>8</v>
      </c>
      <c r="I271" s="65">
        <v>4</v>
      </c>
      <c r="J271" s="48"/>
      <c r="K271" s="66"/>
      <c r="L271" s="47"/>
      <c r="M271" s="59"/>
      <c r="N271" s="39"/>
    </row>
    <row r="272" s="33" customFormat="1" spans="1:14">
      <c r="A272" s="59" t="s">
        <v>1609</v>
      </c>
      <c r="B272" s="59" t="s">
        <v>1671</v>
      </c>
      <c r="C272" s="89" t="s">
        <v>1672</v>
      </c>
      <c r="D272" s="59" t="s">
        <v>1545</v>
      </c>
      <c r="E272" s="59">
        <v>9233</v>
      </c>
      <c r="F272" s="38" t="s">
        <v>1231</v>
      </c>
      <c r="G272" s="60" t="s">
        <v>18</v>
      </c>
      <c r="H272" s="59">
        <v>0</v>
      </c>
      <c r="I272" s="48">
        <v>4</v>
      </c>
      <c r="J272" s="48"/>
      <c r="K272" s="61" t="s">
        <v>1612</v>
      </c>
      <c r="L272" s="42" t="s">
        <v>1630</v>
      </c>
      <c r="M272" s="59"/>
      <c r="N272" s="39" t="s">
        <v>1627</v>
      </c>
    </row>
    <row r="273" s="33" customFormat="1" spans="1:14">
      <c r="A273" s="59"/>
      <c r="B273" s="59"/>
      <c r="C273" s="59"/>
      <c r="D273" s="59"/>
      <c r="E273" s="59"/>
      <c r="F273" s="38"/>
      <c r="G273" s="60" t="s">
        <v>20</v>
      </c>
      <c r="H273" s="59">
        <v>4</v>
      </c>
      <c r="I273" s="48">
        <v>4</v>
      </c>
      <c r="J273" s="48"/>
      <c r="K273" s="63"/>
      <c r="L273" s="44"/>
      <c r="M273" s="59"/>
      <c r="N273" s="39"/>
    </row>
    <row r="274" s="33" customFormat="1" spans="1:14">
      <c r="A274" s="59"/>
      <c r="B274" s="59"/>
      <c r="C274" s="59"/>
      <c r="D274" s="59"/>
      <c r="E274" s="59"/>
      <c r="F274" s="38"/>
      <c r="G274" s="59" t="s">
        <v>1550</v>
      </c>
      <c r="H274" s="59">
        <v>8</v>
      </c>
      <c r="I274" s="65">
        <v>4</v>
      </c>
      <c r="J274" s="48"/>
      <c r="K274" s="66"/>
      <c r="L274" s="47"/>
      <c r="M274" s="59"/>
      <c r="N274" s="39"/>
    </row>
    <row r="275" s="33" customFormat="1" spans="1:14">
      <c r="A275" s="59" t="s">
        <v>1615</v>
      </c>
      <c r="B275" s="59" t="s">
        <v>1674</v>
      </c>
      <c r="C275" s="89" t="s">
        <v>1672</v>
      </c>
      <c r="D275" s="59" t="s">
        <v>1545</v>
      </c>
      <c r="E275" s="59">
        <v>9243</v>
      </c>
      <c r="F275" s="38" t="s">
        <v>1231</v>
      </c>
      <c r="G275" s="60" t="s">
        <v>18</v>
      </c>
      <c r="H275" s="59">
        <v>0</v>
      </c>
      <c r="I275" s="48">
        <v>4</v>
      </c>
      <c r="J275" s="48"/>
      <c r="K275" s="61" t="s">
        <v>1612</v>
      </c>
      <c r="L275" s="42" t="s">
        <v>1631</v>
      </c>
      <c r="M275" s="59"/>
      <c r="N275" s="39" t="s">
        <v>1627</v>
      </c>
    </row>
    <row r="276" s="33" customFormat="1" spans="1:14">
      <c r="A276" s="59"/>
      <c r="B276" s="59"/>
      <c r="C276" s="59"/>
      <c r="D276" s="59"/>
      <c r="E276" s="59"/>
      <c r="F276" s="38"/>
      <c r="G276" s="60" t="s">
        <v>20</v>
      </c>
      <c r="H276" s="59">
        <v>4</v>
      </c>
      <c r="I276" s="48">
        <v>4</v>
      </c>
      <c r="J276" s="48"/>
      <c r="K276" s="63"/>
      <c r="L276" s="44"/>
      <c r="M276" s="59"/>
      <c r="N276" s="39"/>
    </row>
    <row r="277" s="33" customFormat="1" spans="1:14">
      <c r="A277" s="59"/>
      <c r="B277" s="59"/>
      <c r="C277" s="59"/>
      <c r="D277" s="59"/>
      <c r="E277" s="59"/>
      <c r="F277" s="38"/>
      <c r="G277" s="59" t="s">
        <v>1550</v>
      </c>
      <c r="H277" s="59">
        <v>8</v>
      </c>
      <c r="I277" s="65">
        <v>4</v>
      </c>
      <c r="J277" s="48"/>
      <c r="K277" s="66"/>
      <c r="L277" s="47"/>
      <c r="M277" s="59"/>
      <c r="N277" s="39"/>
    </row>
    <row r="278" s="33" customFormat="1" spans="1:14">
      <c r="A278" s="59" t="s">
        <v>1618</v>
      </c>
      <c r="B278" s="59" t="s">
        <v>1619</v>
      </c>
      <c r="C278" s="89" t="s">
        <v>1672</v>
      </c>
      <c r="D278" s="59" t="s">
        <v>1545</v>
      </c>
      <c r="E278" s="59">
        <v>9253</v>
      </c>
      <c r="F278" s="38" t="s">
        <v>1231</v>
      </c>
      <c r="G278" s="60" t="s">
        <v>18</v>
      </c>
      <c r="H278" s="59">
        <v>0</v>
      </c>
      <c r="I278" s="48">
        <v>4</v>
      </c>
      <c r="J278" s="48"/>
      <c r="K278" s="61" t="s">
        <v>1612</v>
      </c>
      <c r="L278" s="42" t="s">
        <v>1632</v>
      </c>
      <c r="M278" s="59"/>
      <c r="N278" s="39" t="s">
        <v>1627</v>
      </c>
    </row>
    <row r="279" s="33" customFormat="1" spans="1:14">
      <c r="A279" s="59"/>
      <c r="B279" s="59"/>
      <c r="C279" s="59"/>
      <c r="D279" s="59"/>
      <c r="E279" s="59"/>
      <c r="F279" s="38"/>
      <c r="G279" s="60" t="s">
        <v>20</v>
      </c>
      <c r="H279" s="59">
        <v>4</v>
      </c>
      <c r="I279" s="48">
        <v>4</v>
      </c>
      <c r="J279" s="48"/>
      <c r="K279" s="63"/>
      <c r="L279" s="44"/>
      <c r="M279" s="59"/>
      <c r="N279" s="39"/>
    </row>
    <row r="280" s="33" customFormat="1" spans="1:14">
      <c r="A280" s="59"/>
      <c r="B280" s="59"/>
      <c r="C280" s="59"/>
      <c r="D280" s="59"/>
      <c r="E280" s="59"/>
      <c r="F280" s="38"/>
      <c r="G280" s="59" t="s">
        <v>1550</v>
      </c>
      <c r="H280" s="59">
        <v>8</v>
      </c>
      <c r="I280" s="65">
        <v>4</v>
      </c>
      <c r="J280" s="48"/>
      <c r="K280" s="66"/>
      <c r="L280" s="47"/>
      <c r="M280" s="59"/>
      <c r="N280" s="39"/>
    </row>
    <row r="281" spans="1:14">
      <c r="A281" s="38" t="s">
        <v>1677</v>
      </c>
      <c r="B281" s="38" t="s">
        <v>1675</v>
      </c>
      <c r="C281" s="88" t="s">
        <v>1672</v>
      </c>
      <c r="D281" s="38" t="s">
        <v>1545</v>
      </c>
      <c r="E281" s="38">
        <v>9023</v>
      </c>
      <c r="F281" s="38" t="s">
        <v>86</v>
      </c>
      <c r="G281" s="39" t="s">
        <v>18</v>
      </c>
      <c r="H281" s="38">
        <v>0</v>
      </c>
      <c r="I281" s="40">
        <v>4</v>
      </c>
      <c r="J281" s="40"/>
      <c r="K281" s="41" t="s">
        <v>1612</v>
      </c>
      <c r="L281" s="42" t="s">
        <v>1620</v>
      </c>
      <c r="M281" s="38"/>
      <c r="N281" s="39" t="s">
        <v>1614</v>
      </c>
    </row>
    <row r="282" spans="1:14">
      <c r="A282" s="38"/>
      <c r="B282" s="38"/>
      <c r="C282" s="38"/>
      <c r="D282" s="38"/>
      <c r="E282" s="38"/>
      <c r="F282" s="38"/>
      <c r="G282" s="39" t="s">
        <v>20</v>
      </c>
      <c r="H282" s="38">
        <v>4</v>
      </c>
      <c r="I282" s="40">
        <v>4</v>
      </c>
      <c r="J282" s="40"/>
      <c r="K282" s="43"/>
      <c r="L282" s="44"/>
      <c r="M282" s="38"/>
      <c r="N282" s="39"/>
    </row>
    <row r="283" spans="1:14">
      <c r="A283" s="38"/>
      <c r="B283" s="38"/>
      <c r="C283" s="38"/>
      <c r="D283" s="38"/>
      <c r="E283" s="38"/>
      <c r="F283" s="38"/>
      <c r="G283" s="38" t="s">
        <v>1550</v>
      </c>
      <c r="H283" s="38">
        <v>8</v>
      </c>
      <c r="I283" s="45">
        <v>16</v>
      </c>
      <c r="J283" s="40"/>
      <c r="K283" s="46"/>
      <c r="L283" s="47"/>
      <c r="M283" s="38"/>
      <c r="N283" s="39"/>
    </row>
    <row r="284" spans="1:14">
      <c r="A284" s="38" t="s">
        <v>1678</v>
      </c>
      <c r="B284" s="38" t="s">
        <v>1676</v>
      </c>
      <c r="C284" s="88" t="s">
        <v>1672</v>
      </c>
      <c r="D284" s="38" t="s">
        <v>1545</v>
      </c>
      <c r="E284" s="38">
        <v>9033</v>
      </c>
      <c r="F284" s="38" t="s">
        <v>86</v>
      </c>
      <c r="G284" s="39" t="s">
        <v>18</v>
      </c>
      <c r="H284" s="38">
        <v>0</v>
      </c>
      <c r="I284" s="40">
        <v>4</v>
      </c>
      <c r="J284" s="40"/>
      <c r="K284" s="41" t="s">
        <v>1612</v>
      </c>
      <c r="L284" s="42" t="s">
        <v>1623</v>
      </c>
      <c r="M284" s="38"/>
      <c r="N284" s="39" t="s">
        <v>1614</v>
      </c>
    </row>
    <row r="285" spans="1:14">
      <c r="A285" s="38"/>
      <c r="B285" s="38"/>
      <c r="C285" s="38"/>
      <c r="D285" s="38"/>
      <c r="E285" s="38"/>
      <c r="F285" s="38"/>
      <c r="G285" s="39" t="s">
        <v>20</v>
      </c>
      <c r="H285" s="38">
        <v>4</v>
      </c>
      <c r="I285" s="40">
        <v>4</v>
      </c>
      <c r="J285" s="40"/>
      <c r="K285" s="43"/>
      <c r="L285" s="44"/>
      <c r="M285" s="38"/>
      <c r="N285" s="39"/>
    </row>
    <row r="286" spans="1:14">
      <c r="A286" s="38"/>
      <c r="B286" s="38"/>
      <c r="C286" s="38"/>
      <c r="D286" s="38"/>
      <c r="E286" s="38"/>
      <c r="F286" s="38"/>
      <c r="G286" s="38" t="s">
        <v>1550</v>
      </c>
      <c r="H286" s="38">
        <v>8</v>
      </c>
      <c r="I286" s="45">
        <v>80</v>
      </c>
      <c r="J286" s="40"/>
      <c r="K286" s="46"/>
      <c r="L286" s="47"/>
      <c r="M286" s="38"/>
      <c r="N286" s="39"/>
    </row>
    <row r="287" spans="1:14">
      <c r="A287" s="38" t="s">
        <v>1679</v>
      </c>
      <c r="B287" s="38" t="s">
        <v>1680</v>
      </c>
      <c r="C287" s="88" t="s">
        <v>1672</v>
      </c>
      <c r="D287" s="38" t="s">
        <v>1545</v>
      </c>
      <c r="E287" s="38">
        <v>9103</v>
      </c>
      <c r="F287" s="38" t="s">
        <v>1231</v>
      </c>
      <c r="G287" s="39" t="s">
        <v>18</v>
      </c>
      <c r="H287" s="38">
        <v>0</v>
      </c>
      <c r="I287" s="40">
        <v>4</v>
      </c>
      <c r="J287" s="40"/>
      <c r="K287" s="41" t="s">
        <v>1612</v>
      </c>
      <c r="L287" s="42" t="s">
        <v>1662</v>
      </c>
      <c r="M287" s="38"/>
      <c r="N287" s="39" t="s">
        <v>1627</v>
      </c>
    </row>
    <row r="288" spans="1:14">
      <c r="A288" s="38"/>
      <c r="B288" s="38"/>
      <c r="C288" s="38"/>
      <c r="D288" s="38"/>
      <c r="E288" s="38"/>
      <c r="F288" s="38"/>
      <c r="G288" s="39" t="s">
        <v>20</v>
      </c>
      <c r="H288" s="38">
        <v>4</v>
      </c>
      <c r="I288" s="40">
        <v>4</v>
      </c>
      <c r="J288" s="40"/>
      <c r="K288" s="43"/>
      <c r="L288" s="44"/>
      <c r="M288" s="38"/>
      <c r="N288" s="39"/>
    </row>
    <row r="289" spans="1:14">
      <c r="A289" s="38"/>
      <c r="B289" s="38"/>
      <c r="C289" s="38"/>
      <c r="D289" s="38"/>
      <c r="E289" s="38"/>
      <c r="F289" s="38"/>
      <c r="G289" s="38" t="s">
        <v>1550</v>
      </c>
      <c r="H289" s="38">
        <v>8</v>
      </c>
      <c r="I289" s="45">
        <v>4</v>
      </c>
      <c r="J289" s="40"/>
      <c r="K289" s="46"/>
      <c r="L289" s="47"/>
      <c r="M289" s="38"/>
      <c r="N289" s="39"/>
    </row>
    <row r="290" spans="1:14">
      <c r="A290" s="38" t="s">
        <v>1681</v>
      </c>
      <c r="B290" s="38" t="s">
        <v>1682</v>
      </c>
      <c r="C290" s="88" t="s">
        <v>1672</v>
      </c>
      <c r="D290" s="38" t="s">
        <v>1545</v>
      </c>
      <c r="E290" s="38">
        <v>9043</v>
      </c>
      <c r="F290" s="38" t="s">
        <v>86</v>
      </c>
      <c r="G290" s="39" t="s">
        <v>18</v>
      </c>
      <c r="H290" s="38">
        <v>0</v>
      </c>
      <c r="I290" s="40">
        <v>4</v>
      </c>
      <c r="J290" s="40"/>
      <c r="K290" s="41" t="s">
        <v>1612</v>
      </c>
      <c r="L290" s="42" t="s">
        <v>1635</v>
      </c>
      <c r="M290" s="38"/>
      <c r="N290" s="39" t="s">
        <v>1636</v>
      </c>
    </row>
    <row r="291" spans="1:14">
      <c r="A291" s="38"/>
      <c r="B291" s="38"/>
      <c r="C291" s="38"/>
      <c r="D291" s="38"/>
      <c r="E291" s="38"/>
      <c r="F291" s="38"/>
      <c r="G291" s="39" t="s">
        <v>20</v>
      </c>
      <c r="H291" s="38">
        <v>4</v>
      </c>
      <c r="I291" s="40">
        <v>4</v>
      </c>
      <c r="J291" s="40"/>
      <c r="K291" s="43"/>
      <c r="L291" s="44"/>
      <c r="M291" s="38"/>
      <c r="N291" s="39"/>
    </row>
    <row r="292" spans="1:14">
      <c r="A292" s="38"/>
      <c r="B292" s="38"/>
      <c r="C292" s="38"/>
      <c r="D292" s="38"/>
      <c r="E292" s="38"/>
      <c r="F292" s="38"/>
      <c r="G292" s="38" t="s">
        <v>1550</v>
      </c>
      <c r="H292" s="38">
        <v>8</v>
      </c>
      <c r="I292" s="45">
        <v>90</v>
      </c>
      <c r="J292" s="40"/>
      <c r="K292" s="46"/>
      <c r="L292" s="47"/>
      <c r="M292" s="38"/>
      <c r="N292" s="39"/>
    </row>
    <row r="293" spans="1:14">
      <c r="A293" s="38" t="s">
        <v>1683</v>
      </c>
      <c r="B293" s="38" t="s">
        <v>1684</v>
      </c>
      <c r="C293" s="88" t="s">
        <v>1672</v>
      </c>
      <c r="D293" s="38" t="s">
        <v>1545</v>
      </c>
      <c r="E293" s="38">
        <v>9053</v>
      </c>
      <c r="F293" s="38" t="s">
        <v>86</v>
      </c>
      <c r="G293" s="39" t="s">
        <v>18</v>
      </c>
      <c r="H293" s="38">
        <v>0</v>
      </c>
      <c r="I293" s="40">
        <v>4</v>
      </c>
      <c r="J293" s="40"/>
      <c r="K293" s="41" t="s">
        <v>1612</v>
      </c>
      <c r="L293" s="42" t="s">
        <v>1639</v>
      </c>
      <c r="M293" s="38"/>
      <c r="N293" s="39" t="s">
        <v>1636</v>
      </c>
    </row>
    <row r="294" spans="1:14">
      <c r="A294" s="38"/>
      <c r="B294" s="38"/>
      <c r="C294" s="38"/>
      <c r="D294" s="38"/>
      <c r="E294" s="38"/>
      <c r="F294" s="38"/>
      <c r="G294" s="39" t="s">
        <v>20</v>
      </c>
      <c r="H294" s="38">
        <v>4</v>
      </c>
      <c r="I294" s="40">
        <v>4</v>
      </c>
      <c r="J294" s="40"/>
      <c r="K294" s="43"/>
      <c r="L294" s="44"/>
      <c r="M294" s="38"/>
      <c r="N294" s="39"/>
    </row>
    <row r="295" spans="1:14">
      <c r="A295" s="38"/>
      <c r="B295" s="38"/>
      <c r="C295" s="38"/>
      <c r="D295" s="38"/>
      <c r="E295" s="38"/>
      <c r="F295" s="38"/>
      <c r="G295" s="38" t="s">
        <v>1550</v>
      </c>
      <c r="H295" s="38">
        <v>8</v>
      </c>
      <c r="I295" s="45">
        <v>20</v>
      </c>
      <c r="J295" s="40"/>
      <c r="K295" s="46"/>
      <c r="L295" s="47"/>
      <c r="M295" s="38"/>
      <c r="N295" s="39"/>
    </row>
    <row r="296" spans="1:14">
      <c r="A296" s="38" t="s">
        <v>1685</v>
      </c>
      <c r="B296" s="38" t="s">
        <v>1641</v>
      </c>
      <c r="C296" s="88" t="s">
        <v>1672</v>
      </c>
      <c r="D296" s="38" t="s">
        <v>1545</v>
      </c>
      <c r="E296" s="38">
        <v>9063</v>
      </c>
      <c r="F296" s="48" t="s">
        <v>137</v>
      </c>
      <c r="G296" s="39" t="s">
        <v>18</v>
      </c>
      <c r="H296" s="38">
        <v>0</v>
      </c>
      <c r="I296" s="40">
        <v>4</v>
      </c>
      <c r="J296" s="40"/>
      <c r="K296" s="41" t="s">
        <v>1612</v>
      </c>
      <c r="L296" s="42" t="s">
        <v>1642</v>
      </c>
      <c r="M296" s="38"/>
      <c r="N296" s="90" t="s">
        <v>1643</v>
      </c>
    </row>
    <row r="297" spans="1:14">
      <c r="A297" s="38"/>
      <c r="B297" s="38"/>
      <c r="C297" s="38"/>
      <c r="D297" s="38"/>
      <c r="E297" s="38"/>
      <c r="F297" s="48"/>
      <c r="G297" s="39" t="s">
        <v>20</v>
      </c>
      <c r="H297" s="38">
        <v>4</v>
      </c>
      <c r="I297" s="40">
        <v>4</v>
      </c>
      <c r="J297" s="40"/>
      <c r="K297" s="43"/>
      <c r="L297" s="44"/>
      <c r="M297" s="38"/>
      <c r="N297" s="39"/>
    </row>
    <row r="298" spans="1:14">
      <c r="A298" s="38"/>
      <c r="B298" s="38"/>
      <c r="C298" s="38"/>
      <c r="D298" s="38"/>
      <c r="E298" s="38"/>
      <c r="F298" s="48"/>
      <c r="G298" s="38" t="s">
        <v>1550</v>
      </c>
      <c r="H298" s="38">
        <v>8</v>
      </c>
      <c r="I298" s="45">
        <v>1028</v>
      </c>
      <c r="J298" s="40"/>
      <c r="K298" s="46"/>
      <c r="L298" s="47"/>
      <c r="M298" s="38"/>
      <c r="N298" s="39"/>
    </row>
    <row r="299" ht="17" customHeight="1" spans="1:14">
      <c r="A299" s="38" t="s">
        <v>1686</v>
      </c>
      <c r="B299" s="38" t="s">
        <v>1645</v>
      </c>
      <c r="C299" s="88" t="s">
        <v>1672</v>
      </c>
      <c r="D299" s="38" t="s">
        <v>1545</v>
      </c>
      <c r="E299" s="38">
        <v>9073</v>
      </c>
      <c r="F299" s="48" t="s">
        <v>137</v>
      </c>
      <c r="G299" s="39" t="s">
        <v>18</v>
      </c>
      <c r="H299" s="38">
        <v>0</v>
      </c>
      <c r="I299" s="40">
        <v>4</v>
      </c>
      <c r="J299" s="40"/>
      <c r="K299" s="41" t="s">
        <v>1612</v>
      </c>
      <c r="L299" s="42" t="s">
        <v>1646</v>
      </c>
      <c r="M299" s="38"/>
      <c r="N299" s="90" t="s">
        <v>1647</v>
      </c>
    </row>
    <row r="300" ht="17" customHeight="1" spans="1:14">
      <c r="A300" s="38"/>
      <c r="B300" s="38"/>
      <c r="C300" s="38"/>
      <c r="D300" s="38"/>
      <c r="E300" s="38"/>
      <c r="F300" s="48"/>
      <c r="G300" s="39" t="s">
        <v>20</v>
      </c>
      <c r="H300" s="38">
        <v>4</v>
      </c>
      <c r="I300" s="40">
        <v>4</v>
      </c>
      <c r="J300" s="40"/>
      <c r="K300" s="43"/>
      <c r="L300" s="44"/>
      <c r="M300" s="38"/>
      <c r="N300" s="39"/>
    </row>
    <row r="301" ht="17" customHeight="1" spans="1:14">
      <c r="A301" s="38"/>
      <c r="B301" s="38"/>
      <c r="C301" s="38"/>
      <c r="D301" s="38"/>
      <c r="E301" s="38"/>
      <c r="F301" s="48"/>
      <c r="G301" s="38" t="s">
        <v>1550</v>
      </c>
      <c r="H301" s="38">
        <v>8</v>
      </c>
      <c r="I301" s="45">
        <v>516</v>
      </c>
      <c r="J301" s="40"/>
      <c r="K301" s="46"/>
      <c r="L301" s="47"/>
      <c r="M301" s="38"/>
      <c r="N301" s="39"/>
    </row>
    <row r="302" ht="17" customHeight="1" spans="1:14">
      <c r="A302" s="38" t="s">
        <v>1687</v>
      </c>
      <c r="B302" s="38" t="s">
        <v>1649</v>
      </c>
      <c r="C302" s="88" t="s">
        <v>1672</v>
      </c>
      <c r="D302" s="38" t="s">
        <v>1545</v>
      </c>
      <c r="E302" s="38">
        <v>9093</v>
      </c>
      <c r="F302" s="48" t="s">
        <v>137</v>
      </c>
      <c r="G302" s="39" t="s">
        <v>18</v>
      </c>
      <c r="H302" s="38">
        <v>0</v>
      </c>
      <c r="I302" s="40">
        <v>4</v>
      </c>
      <c r="J302" s="40"/>
      <c r="K302" s="41" t="s">
        <v>1612</v>
      </c>
      <c r="L302" s="42" t="s">
        <v>1650</v>
      </c>
      <c r="M302" s="38"/>
      <c r="N302" s="90" t="s">
        <v>1647</v>
      </c>
    </row>
    <row r="303" ht="17" customHeight="1" spans="1:14">
      <c r="A303" s="38"/>
      <c r="B303" s="38"/>
      <c r="C303" s="38"/>
      <c r="D303" s="38"/>
      <c r="E303" s="38"/>
      <c r="F303" s="48"/>
      <c r="G303" s="39" t="s">
        <v>20</v>
      </c>
      <c r="H303" s="38">
        <v>4</v>
      </c>
      <c r="I303" s="40">
        <v>4</v>
      </c>
      <c r="J303" s="40"/>
      <c r="K303" s="43"/>
      <c r="L303" s="44"/>
      <c r="M303" s="38"/>
      <c r="N303" s="39"/>
    </row>
    <row r="304" ht="17" customHeight="1" spans="1:14">
      <c r="A304" s="38"/>
      <c r="B304" s="38"/>
      <c r="C304" s="38"/>
      <c r="D304" s="38"/>
      <c r="E304" s="38"/>
      <c r="F304" s="48"/>
      <c r="G304" s="38" t="s">
        <v>1550</v>
      </c>
      <c r="H304" s="38">
        <v>8</v>
      </c>
      <c r="I304" s="45">
        <v>80</v>
      </c>
      <c r="J304" s="40"/>
      <c r="K304" s="46"/>
      <c r="L304" s="47"/>
      <c r="M304" s="38"/>
      <c r="N304" s="39"/>
    </row>
  </sheetData>
  <autoFilter xmlns:etc="http://www.wps.cn/officeDocument/2017/etCustomData" ref="A1:N304" etc:filterBottomFollowUsedRange="0">
    <extLst/>
  </autoFilter>
  <mergeCells count="1010">
    <mergeCell ref="A2:A4"/>
    <mergeCell ref="A5:A7"/>
    <mergeCell ref="A8:A10"/>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A248:A250"/>
    <mergeCell ref="A251:A253"/>
    <mergeCell ref="A254:A256"/>
    <mergeCell ref="A257:A259"/>
    <mergeCell ref="A260:A262"/>
    <mergeCell ref="A263:A265"/>
    <mergeCell ref="A266:A268"/>
    <mergeCell ref="A269:A271"/>
    <mergeCell ref="A272:A274"/>
    <mergeCell ref="A275:A277"/>
    <mergeCell ref="A278:A280"/>
    <mergeCell ref="A281:A283"/>
    <mergeCell ref="A284:A286"/>
    <mergeCell ref="A287:A289"/>
    <mergeCell ref="A290:A292"/>
    <mergeCell ref="A293:A295"/>
    <mergeCell ref="A296:A298"/>
    <mergeCell ref="A299:A301"/>
    <mergeCell ref="A302:A304"/>
    <mergeCell ref="B2:B4"/>
    <mergeCell ref="B5:B7"/>
    <mergeCell ref="B8:B10"/>
    <mergeCell ref="B11:B13"/>
    <mergeCell ref="B14:B16"/>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B248:B250"/>
    <mergeCell ref="B251:B253"/>
    <mergeCell ref="B254:B256"/>
    <mergeCell ref="B257:B259"/>
    <mergeCell ref="B260:B262"/>
    <mergeCell ref="B263:B265"/>
    <mergeCell ref="B266:B268"/>
    <mergeCell ref="B269:B271"/>
    <mergeCell ref="B272:B274"/>
    <mergeCell ref="B275:B277"/>
    <mergeCell ref="B278:B280"/>
    <mergeCell ref="B281:B283"/>
    <mergeCell ref="B284:B286"/>
    <mergeCell ref="B287:B289"/>
    <mergeCell ref="B290:B292"/>
    <mergeCell ref="B293:B295"/>
    <mergeCell ref="B296:B298"/>
    <mergeCell ref="B299:B301"/>
    <mergeCell ref="B302:B304"/>
    <mergeCell ref="C2:C4"/>
    <mergeCell ref="C5:C7"/>
    <mergeCell ref="C8:C10"/>
    <mergeCell ref="C11:C13"/>
    <mergeCell ref="C14:C16"/>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C248:C250"/>
    <mergeCell ref="C251:C253"/>
    <mergeCell ref="C254:C256"/>
    <mergeCell ref="C257:C259"/>
    <mergeCell ref="C260:C262"/>
    <mergeCell ref="C263:C265"/>
    <mergeCell ref="C266:C268"/>
    <mergeCell ref="C269:C271"/>
    <mergeCell ref="C272:C274"/>
    <mergeCell ref="C275:C277"/>
    <mergeCell ref="C278:C280"/>
    <mergeCell ref="C281:C283"/>
    <mergeCell ref="C284:C286"/>
    <mergeCell ref="C287:C289"/>
    <mergeCell ref="C290:C292"/>
    <mergeCell ref="C293:C295"/>
    <mergeCell ref="C296:C298"/>
    <mergeCell ref="C299:C301"/>
    <mergeCell ref="C302:C304"/>
    <mergeCell ref="D2:D4"/>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D248:D250"/>
    <mergeCell ref="D251:D253"/>
    <mergeCell ref="D254:D256"/>
    <mergeCell ref="D257:D259"/>
    <mergeCell ref="D260:D262"/>
    <mergeCell ref="D263:D265"/>
    <mergeCell ref="D266:D268"/>
    <mergeCell ref="D269:D271"/>
    <mergeCell ref="D272:D274"/>
    <mergeCell ref="D275:D277"/>
    <mergeCell ref="D278:D280"/>
    <mergeCell ref="D281:D283"/>
    <mergeCell ref="D284:D286"/>
    <mergeCell ref="D287:D289"/>
    <mergeCell ref="D290:D292"/>
    <mergeCell ref="D293:D295"/>
    <mergeCell ref="D296:D298"/>
    <mergeCell ref="D299:D301"/>
    <mergeCell ref="D302:D304"/>
    <mergeCell ref="E2:E4"/>
    <mergeCell ref="E5:E7"/>
    <mergeCell ref="E8:E10"/>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 ref="E56:E58"/>
    <mergeCell ref="E59:E61"/>
    <mergeCell ref="E62:E64"/>
    <mergeCell ref="E65:E67"/>
    <mergeCell ref="E68:E70"/>
    <mergeCell ref="E71:E73"/>
    <mergeCell ref="E74:E76"/>
    <mergeCell ref="E77:E79"/>
    <mergeCell ref="E80:E82"/>
    <mergeCell ref="E83:E85"/>
    <mergeCell ref="E86:E88"/>
    <mergeCell ref="E89:E91"/>
    <mergeCell ref="E92:E94"/>
    <mergeCell ref="E95:E97"/>
    <mergeCell ref="E98:E100"/>
    <mergeCell ref="E101:E103"/>
    <mergeCell ref="E104:E106"/>
    <mergeCell ref="E107:E109"/>
    <mergeCell ref="E110:E112"/>
    <mergeCell ref="E113:E115"/>
    <mergeCell ref="E116:E118"/>
    <mergeCell ref="E119:E121"/>
    <mergeCell ref="E122:E124"/>
    <mergeCell ref="E125:E127"/>
    <mergeCell ref="E128:E130"/>
    <mergeCell ref="E131:E133"/>
    <mergeCell ref="E134:E136"/>
    <mergeCell ref="E137:E139"/>
    <mergeCell ref="E140:E142"/>
    <mergeCell ref="E143:E145"/>
    <mergeCell ref="E146:E148"/>
    <mergeCell ref="E149:E151"/>
    <mergeCell ref="E152:E154"/>
    <mergeCell ref="E155:E157"/>
    <mergeCell ref="E158:E160"/>
    <mergeCell ref="E161:E163"/>
    <mergeCell ref="E164:E166"/>
    <mergeCell ref="E167:E169"/>
    <mergeCell ref="E170:E172"/>
    <mergeCell ref="E173:E175"/>
    <mergeCell ref="E176:E178"/>
    <mergeCell ref="E179:E181"/>
    <mergeCell ref="E182:E184"/>
    <mergeCell ref="E185:E187"/>
    <mergeCell ref="E188:E190"/>
    <mergeCell ref="E191:E193"/>
    <mergeCell ref="E194:E196"/>
    <mergeCell ref="E197:E199"/>
    <mergeCell ref="E200:E202"/>
    <mergeCell ref="E203:E205"/>
    <mergeCell ref="E206:E208"/>
    <mergeCell ref="E209:E211"/>
    <mergeCell ref="E212:E214"/>
    <mergeCell ref="E215:E217"/>
    <mergeCell ref="E218:E220"/>
    <mergeCell ref="E221:E223"/>
    <mergeCell ref="E224:E226"/>
    <mergeCell ref="E227:E229"/>
    <mergeCell ref="E230:E232"/>
    <mergeCell ref="E233:E235"/>
    <mergeCell ref="E236:E238"/>
    <mergeCell ref="E239:E241"/>
    <mergeCell ref="E242:E244"/>
    <mergeCell ref="E245:E247"/>
    <mergeCell ref="E248:E250"/>
    <mergeCell ref="E251:E253"/>
    <mergeCell ref="E254:E256"/>
    <mergeCell ref="E257:E259"/>
    <mergeCell ref="E260:E262"/>
    <mergeCell ref="E263:E265"/>
    <mergeCell ref="E266:E268"/>
    <mergeCell ref="E269:E271"/>
    <mergeCell ref="E272:E274"/>
    <mergeCell ref="E275:E277"/>
    <mergeCell ref="E278:E280"/>
    <mergeCell ref="E281:E283"/>
    <mergeCell ref="E284:E286"/>
    <mergeCell ref="E287:E289"/>
    <mergeCell ref="E290:E292"/>
    <mergeCell ref="E293:E295"/>
    <mergeCell ref="E296:E298"/>
    <mergeCell ref="E299:E301"/>
    <mergeCell ref="E302:E304"/>
    <mergeCell ref="F2:F4"/>
    <mergeCell ref="F5:F7"/>
    <mergeCell ref="F8:F10"/>
    <mergeCell ref="F11:F13"/>
    <mergeCell ref="F14:F16"/>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F248:F250"/>
    <mergeCell ref="F251:F253"/>
    <mergeCell ref="F254:F256"/>
    <mergeCell ref="F257:F259"/>
    <mergeCell ref="F260:F262"/>
    <mergeCell ref="F263:F265"/>
    <mergeCell ref="F266:F268"/>
    <mergeCell ref="F269:F271"/>
    <mergeCell ref="F272:F274"/>
    <mergeCell ref="F275:F277"/>
    <mergeCell ref="F278:F280"/>
    <mergeCell ref="F281:F283"/>
    <mergeCell ref="F284:F286"/>
    <mergeCell ref="F287:F289"/>
    <mergeCell ref="F290:F292"/>
    <mergeCell ref="F293:F295"/>
    <mergeCell ref="F296:F298"/>
    <mergeCell ref="F299:F301"/>
    <mergeCell ref="F302:F304"/>
    <mergeCell ref="K2:K4"/>
    <mergeCell ref="K5:K7"/>
    <mergeCell ref="K8:K10"/>
    <mergeCell ref="K11:K13"/>
    <mergeCell ref="K14:K16"/>
    <mergeCell ref="K17:K19"/>
    <mergeCell ref="K20:K22"/>
    <mergeCell ref="K23:K25"/>
    <mergeCell ref="K26:K28"/>
    <mergeCell ref="K29:K31"/>
    <mergeCell ref="K32:K34"/>
    <mergeCell ref="K35:K37"/>
    <mergeCell ref="K38:K40"/>
    <mergeCell ref="K41:K43"/>
    <mergeCell ref="K44:K46"/>
    <mergeCell ref="K47:K49"/>
    <mergeCell ref="K50:K52"/>
    <mergeCell ref="K53:K55"/>
    <mergeCell ref="K56:K58"/>
    <mergeCell ref="K59:K61"/>
    <mergeCell ref="K62:K64"/>
    <mergeCell ref="K65:K67"/>
    <mergeCell ref="K68:K70"/>
    <mergeCell ref="K71:K73"/>
    <mergeCell ref="K74:K76"/>
    <mergeCell ref="K77:K79"/>
    <mergeCell ref="K80:K82"/>
    <mergeCell ref="K83:K85"/>
    <mergeCell ref="K86:K88"/>
    <mergeCell ref="K89:K91"/>
    <mergeCell ref="K92:K94"/>
    <mergeCell ref="K95:K97"/>
    <mergeCell ref="K98:K100"/>
    <mergeCell ref="K101:K103"/>
    <mergeCell ref="K104:K106"/>
    <mergeCell ref="K107:K109"/>
    <mergeCell ref="K110:K112"/>
    <mergeCell ref="K113:K115"/>
    <mergeCell ref="K116:K118"/>
    <mergeCell ref="K119:K121"/>
    <mergeCell ref="K122:K124"/>
    <mergeCell ref="K125:K127"/>
    <mergeCell ref="K128:K130"/>
    <mergeCell ref="K131:K133"/>
    <mergeCell ref="K134:K136"/>
    <mergeCell ref="K137:K139"/>
    <mergeCell ref="K140:K142"/>
    <mergeCell ref="K143:K145"/>
    <mergeCell ref="K146:K148"/>
    <mergeCell ref="K149:K151"/>
    <mergeCell ref="K152:K154"/>
    <mergeCell ref="K155:K157"/>
    <mergeCell ref="K158:K160"/>
    <mergeCell ref="K161:K163"/>
    <mergeCell ref="K164:K166"/>
    <mergeCell ref="K167:K169"/>
    <mergeCell ref="K170:K172"/>
    <mergeCell ref="K173:K175"/>
    <mergeCell ref="K176:K178"/>
    <mergeCell ref="K179:K181"/>
    <mergeCell ref="K182:K184"/>
    <mergeCell ref="K185:K187"/>
    <mergeCell ref="K188:K190"/>
    <mergeCell ref="K191:K193"/>
    <mergeCell ref="K194:K196"/>
    <mergeCell ref="K197:K199"/>
    <mergeCell ref="K200:K202"/>
    <mergeCell ref="K203:K205"/>
    <mergeCell ref="K206:K208"/>
    <mergeCell ref="K209:K211"/>
    <mergeCell ref="K212:K214"/>
    <mergeCell ref="K215:K217"/>
    <mergeCell ref="K218:K220"/>
    <mergeCell ref="K221:K223"/>
    <mergeCell ref="K224:K226"/>
    <mergeCell ref="K227:K229"/>
    <mergeCell ref="K230:K232"/>
    <mergeCell ref="K233:K235"/>
    <mergeCell ref="K236:K238"/>
    <mergeCell ref="K239:K241"/>
    <mergeCell ref="K242:K244"/>
    <mergeCell ref="K245:K247"/>
    <mergeCell ref="K248:K250"/>
    <mergeCell ref="K251:K253"/>
    <mergeCell ref="K254:K256"/>
    <mergeCell ref="K257:K259"/>
    <mergeCell ref="K260:K262"/>
    <mergeCell ref="K263:K265"/>
    <mergeCell ref="K266:K268"/>
    <mergeCell ref="K269:K271"/>
    <mergeCell ref="K272:K274"/>
    <mergeCell ref="K275:K277"/>
    <mergeCell ref="K278:K280"/>
    <mergeCell ref="K281:K283"/>
    <mergeCell ref="K284:K286"/>
    <mergeCell ref="K287:K289"/>
    <mergeCell ref="K290:K292"/>
    <mergeCell ref="K293:K295"/>
    <mergeCell ref="K296:K298"/>
    <mergeCell ref="K299:K301"/>
    <mergeCell ref="K302:K304"/>
    <mergeCell ref="L2:L4"/>
    <mergeCell ref="L5:L7"/>
    <mergeCell ref="L8:L10"/>
    <mergeCell ref="L11:L13"/>
    <mergeCell ref="L14:L16"/>
    <mergeCell ref="L17:L19"/>
    <mergeCell ref="L20:L22"/>
    <mergeCell ref="L23:L25"/>
    <mergeCell ref="L26:L28"/>
    <mergeCell ref="L29:L31"/>
    <mergeCell ref="L32:L34"/>
    <mergeCell ref="L35:L37"/>
    <mergeCell ref="L38:L40"/>
    <mergeCell ref="L41:L43"/>
    <mergeCell ref="L44:L46"/>
    <mergeCell ref="L47:L49"/>
    <mergeCell ref="L50:L52"/>
    <mergeCell ref="L53:L55"/>
    <mergeCell ref="L56:L58"/>
    <mergeCell ref="L59:L61"/>
    <mergeCell ref="L62:L64"/>
    <mergeCell ref="L65:L67"/>
    <mergeCell ref="L68:L70"/>
    <mergeCell ref="L71:L73"/>
    <mergeCell ref="L74:L76"/>
    <mergeCell ref="L77:L79"/>
    <mergeCell ref="L80:L82"/>
    <mergeCell ref="L83:L85"/>
    <mergeCell ref="L86:L88"/>
    <mergeCell ref="L89:L91"/>
    <mergeCell ref="L92:L94"/>
    <mergeCell ref="L95:L97"/>
    <mergeCell ref="L98:L100"/>
    <mergeCell ref="L101:L103"/>
    <mergeCell ref="L104:L106"/>
    <mergeCell ref="L107:L109"/>
    <mergeCell ref="L110:L112"/>
    <mergeCell ref="L113:L115"/>
    <mergeCell ref="L116:L118"/>
    <mergeCell ref="L119:L121"/>
    <mergeCell ref="L122:L124"/>
    <mergeCell ref="L125:L127"/>
    <mergeCell ref="L128:L130"/>
    <mergeCell ref="L131:L133"/>
    <mergeCell ref="L134:L136"/>
    <mergeCell ref="L137:L139"/>
    <mergeCell ref="L140:L142"/>
    <mergeCell ref="L143:L145"/>
    <mergeCell ref="L146:L148"/>
    <mergeCell ref="L149:L151"/>
    <mergeCell ref="L152:L154"/>
    <mergeCell ref="L155:L157"/>
    <mergeCell ref="L158:L160"/>
    <mergeCell ref="L161:L163"/>
    <mergeCell ref="L164:L166"/>
    <mergeCell ref="L167:L169"/>
    <mergeCell ref="L170:L172"/>
    <mergeCell ref="L173:L175"/>
    <mergeCell ref="L176:L178"/>
    <mergeCell ref="L179:L181"/>
    <mergeCell ref="L182:L184"/>
    <mergeCell ref="L185:L187"/>
    <mergeCell ref="L188:L190"/>
    <mergeCell ref="L191:L193"/>
    <mergeCell ref="L194:L196"/>
    <mergeCell ref="L197:L199"/>
    <mergeCell ref="L200:L202"/>
    <mergeCell ref="L203:L205"/>
    <mergeCell ref="L206:L208"/>
    <mergeCell ref="L209:L211"/>
    <mergeCell ref="L212:L214"/>
    <mergeCell ref="L215:L217"/>
    <mergeCell ref="L218:L220"/>
    <mergeCell ref="L221:L223"/>
    <mergeCell ref="L224:L226"/>
    <mergeCell ref="L227:L229"/>
    <mergeCell ref="L230:L232"/>
    <mergeCell ref="L233:L235"/>
    <mergeCell ref="L236:L238"/>
    <mergeCell ref="L239:L241"/>
    <mergeCell ref="L242:L244"/>
    <mergeCell ref="L245:L247"/>
    <mergeCell ref="L248:L250"/>
    <mergeCell ref="L251:L253"/>
    <mergeCell ref="L254:L256"/>
    <mergeCell ref="L257:L259"/>
    <mergeCell ref="L260:L262"/>
    <mergeCell ref="L263:L265"/>
    <mergeCell ref="L266:L268"/>
    <mergeCell ref="L269:L271"/>
    <mergeCell ref="L272:L274"/>
    <mergeCell ref="L275:L277"/>
    <mergeCell ref="L278:L280"/>
    <mergeCell ref="L281:L283"/>
    <mergeCell ref="L284:L286"/>
    <mergeCell ref="L287:L289"/>
    <mergeCell ref="L290:L292"/>
    <mergeCell ref="L293:L295"/>
    <mergeCell ref="L296:L298"/>
    <mergeCell ref="L299:L301"/>
    <mergeCell ref="L302:L304"/>
    <mergeCell ref="M2:M4"/>
    <mergeCell ref="M5:M7"/>
    <mergeCell ref="M8:M10"/>
    <mergeCell ref="M11:M13"/>
    <mergeCell ref="M14:M16"/>
    <mergeCell ref="M17:M19"/>
    <mergeCell ref="M20:M22"/>
    <mergeCell ref="M23:M25"/>
    <mergeCell ref="M26:M28"/>
    <mergeCell ref="M29:M31"/>
    <mergeCell ref="M32:M34"/>
    <mergeCell ref="M35:M37"/>
    <mergeCell ref="M38:M40"/>
    <mergeCell ref="M41:M43"/>
    <mergeCell ref="M44:M46"/>
    <mergeCell ref="M47:M49"/>
    <mergeCell ref="M50:M52"/>
    <mergeCell ref="M53:M55"/>
    <mergeCell ref="M56:M58"/>
    <mergeCell ref="M59:M61"/>
    <mergeCell ref="M62:M64"/>
    <mergeCell ref="M65:M67"/>
    <mergeCell ref="M68:M70"/>
    <mergeCell ref="M71:M73"/>
    <mergeCell ref="M74:M76"/>
    <mergeCell ref="M77:M79"/>
    <mergeCell ref="M80:M82"/>
    <mergeCell ref="M83:M85"/>
    <mergeCell ref="M86:M88"/>
    <mergeCell ref="M89:M91"/>
    <mergeCell ref="M92:M94"/>
    <mergeCell ref="M95:M97"/>
    <mergeCell ref="M98:M100"/>
    <mergeCell ref="M101:M103"/>
    <mergeCell ref="M104:M106"/>
    <mergeCell ref="M107:M109"/>
    <mergeCell ref="M110:M112"/>
    <mergeCell ref="M113:M115"/>
    <mergeCell ref="M116:M118"/>
    <mergeCell ref="M119:M121"/>
    <mergeCell ref="M122:M124"/>
    <mergeCell ref="M125:M127"/>
    <mergeCell ref="M128:M130"/>
    <mergeCell ref="M131:M133"/>
    <mergeCell ref="M134:M136"/>
    <mergeCell ref="M137:M139"/>
    <mergeCell ref="M140:M142"/>
    <mergeCell ref="M143:M145"/>
    <mergeCell ref="M146:M148"/>
    <mergeCell ref="M149:M151"/>
    <mergeCell ref="M152:M154"/>
    <mergeCell ref="M155:M157"/>
    <mergeCell ref="M158:M160"/>
    <mergeCell ref="M161:M163"/>
    <mergeCell ref="M164:M166"/>
    <mergeCell ref="M167:M169"/>
    <mergeCell ref="M170:M172"/>
    <mergeCell ref="M173:M175"/>
    <mergeCell ref="M176:M178"/>
    <mergeCell ref="M179:M181"/>
    <mergeCell ref="M182:M184"/>
    <mergeCell ref="M185:M187"/>
    <mergeCell ref="M188:M190"/>
    <mergeCell ref="M191:M193"/>
    <mergeCell ref="M194:M196"/>
    <mergeCell ref="M197:M199"/>
    <mergeCell ref="M200:M202"/>
    <mergeCell ref="M203:M205"/>
    <mergeCell ref="M206:M208"/>
    <mergeCell ref="M209:M211"/>
    <mergeCell ref="M212:M214"/>
    <mergeCell ref="M215:M217"/>
    <mergeCell ref="M218:M220"/>
    <mergeCell ref="M221:M223"/>
    <mergeCell ref="M224:M226"/>
    <mergeCell ref="M227:M229"/>
    <mergeCell ref="M230:M232"/>
    <mergeCell ref="M233:M235"/>
    <mergeCell ref="M236:M238"/>
    <mergeCell ref="M239:M241"/>
    <mergeCell ref="M242:M244"/>
    <mergeCell ref="M245:M247"/>
    <mergeCell ref="M248:M250"/>
    <mergeCell ref="M251:M253"/>
    <mergeCell ref="M254:M256"/>
    <mergeCell ref="M257:M259"/>
    <mergeCell ref="M260:M262"/>
    <mergeCell ref="M263:M265"/>
    <mergeCell ref="M266:M268"/>
    <mergeCell ref="M269:M271"/>
    <mergeCell ref="M272:M274"/>
    <mergeCell ref="M275:M277"/>
    <mergeCell ref="M278:M280"/>
    <mergeCell ref="M281:M283"/>
    <mergeCell ref="M284:M286"/>
    <mergeCell ref="M287:M289"/>
    <mergeCell ref="M290:M292"/>
    <mergeCell ref="M293:M295"/>
    <mergeCell ref="M296:M298"/>
    <mergeCell ref="M299:M301"/>
    <mergeCell ref="M302:M304"/>
    <mergeCell ref="N2:N4"/>
    <mergeCell ref="N5:N7"/>
    <mergeCell ref="N8:N10"/>
    <mergeCell ref="N11:N13"/>
    <mergeCell ref="N14:N16"/>
    <mergeCell ref="N17:N19"/>
    <mergeCell ref="N20:N22"/>
    <mergeCell ref="N23:N25"/>
    <mergeCell ref="N26:N28"/>
    <mergeCell ref="N29:N31"/>
    <mergeCell ref="N32:N34"/>
    <mergeCell ref="N35:N37"/>
    <mergeCell ref="N38:N40"/>
    <mergeCell ref="N41:N43"/>
    <mergeCell ref="N44:N46"/>
    <mergeCell ref="N47:N49"/>
    <mergeCell ref="N50:N52"/>
    <mergeCell ref="N53:N55"/>
    <mergeCell ref="N56:N58"/>
    <mergeCell ref="N59:N61"/>
    <mergeCell ref="N62:N64"/>
    <mergeCell ref="N65:N67"/>
    <mergeCell ref="N68:N70"/>
    <mergeCell ref="N71:N73"/>
    <mergeCell ref="N74:N76"/>
    <mergeCell ref="N77:N79"/>
    <mergeCell ref="N80:N82"/>
    <mergeCell ref="N83:N85"/>
    <mergeCell ref="N86:N88"/>
    <mergeCell ref="N89:N91"/>
    <mergeCell ref="N92:N94"/>
    <mergeCell ref="N95:N97"/>
    <mergeCell ref="N98:N100"/>
    <mergeCell ref="N101:N103"/>
    <mergeCell ref="N104:N106"/>
    <mergeCell ref="N107:N109"/>
    <mergeCell ref="N110:N112"/>
    <mergeCell ref="N113:N115"/>
    <mergeCell ref="N116:N118"/>
    <mergeCell ref="N119:N121"/>
    <mergeCell ref="N122:N124"/>
    <mergeCell ref="N125:N127"/>
    <mergeCell ref="N128:N130"/>
    <mergeCell ref="N131:N133"/>
    <mergeCell ref="N134:N136"/>
    <mergeCell ref="N137:N139"/>
    <mergeCell ref="N140:N142"/>
    <mergeCell ref="N143:N145"/>
    <mergeCell ref="N146:N148"/>
    <mergeCell ref="N149:N151"/>
    <mergeCell ref="N152:N154"/>
    <mergeCell ref="N155:N157"/>
    <mergeCell ref="N158:N160"/>
    <mergeCell ref="N161:N163"/>
    <mergeCell ref="N164:N166"/>
    <mergeCell ref="N167:N169"/>
    <mergeCell ref="N170:N172"/>
    <mergeCell ref="N173:N175"/>
    <mergeCell ref="N176:N178"/>
    <mergeCell ref="N179:N181"/>
    <mergeCell ref="N182:N184"/>
    <mergeCell ref="N185:N187"/>
    <mergeCell ref="N188:N190"/>
    <mergeCell ref="N191:N193"/>
    <mergeCell ref="N194:N196"/>
    <mergeCell ref="N197:N199"/>
    <mergeCell ref="N200:N202"/>
    <mergeCell ref="N203:N205"/>
    <mergeCell ref="N206:N208"/>
    <mergeCell ref="N209:N211"/>
    <mergeCell ref="N212:N214"/>
    <mergeCell ref="N215:N217"/>
    <mergeCell ref="N218:N220"/>
    <mergeCell ref="N221:N223"/>
    <mergeCell ref="N224:N226"/>
    <mergeCell ref="N227:N229"/>
    <mergeCell ref="N230:N232"/>
    <mergeCell ref="N233:N235"/>
    <mergeCell ref="N236:N238"/>
    <mergeCell ref="N239:N241"/>
    <mergeCell ref="N242:N244"/>
    <mergeCell ref="N245:N247"/>
    <mergeCell ref="N248:N250"/>
    <mergeCell ref="N251:N253"/>
    <mergeCell ref="N254:N256"/>
    <mergeCell ref="N257:N259"/>
    <mergeCell ref="N260:N262"/>
    <mergeCell ref="N263:N265"/>
    <mergeCell ref="N266:N268"/>
    <mergeCell ref="N269:N271"/>
    <mergeCell ref="N272:N274"/>
    <mergeCell ref="N275:N277"/>
    <mergeCell ref="N278:N280"/>
    <mergeCell ref="N281:N283"/>
    <mergeCell ref="N284:N286"/>
    <mergeCell ref="N287:N289"/>
    <mergeCell ref="N290:N292"/>
    <mergeCell ref="N293:N295"/>
    <mergeCell ref="N296:N298"/>
    <mergeCell ref="N299:N301"/>
    <mergeCell ref="N302:N304"/>
  </mergeCells>
  <conditionalFormatting sqref="C1:D1">
    <cfRule type="duplicateValues" dxfId="0" priority="4"/>
  </conditionalFormatting>
  <conditionalFormatting sqref="E1">
    <cfRule type="duplicateValues" dxfId="0" priority="3"/>
    <cfRule type="duplicateValues" dxfId="0" priority="2"/>
  </conditionalFormatting>
  <conditionalFormatting sqref="N1">
    <cfRule type="duplicateValues" dxfId="0" priority="1"/>
  </conditionalFormatting>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topLeftCell="A15" workbookViewId="0">
      <selection activeCell="F10" sqref="F10"/>
    </sheetView>
  </sheetViews>
  <sheetFormatPr defaultColWidth="8.88888888888889" defaultRowHeight="14.4" outlineLevelCol="6"/>
  <cols>
    <col min="1" max="1" width="17" style="6" customWidth="1"/>
    <col min="2" max="2" width="28" style="6" customWidth="1"/>
    <col min="3" max="3" width="14.7314814814815" style="6" customWidth="1"/>
    <col min="4" max="4" width="10.462962962963" style="6" customWidth="1"/>
    <col min="5" max="5" width="52.462962962963" style="6" customWidth="1"/>
    <col min="6" max="6" width="29.0648148148148" style="6" customWidth="1"/>
    <col min="7" max="7" width="14.4444444444444" customWidth="1"/>
    <col min="8" max="8" width="21.6666666666667" customWidth="1"/>
  </cols>
  <sheetData>
    <row r="1" spans="1:7">
      <c r="A1" s="7" t="s">
        <v>1688</v>
      </c>
      <c r="B1" s="8" t="s">
        <v>1689</v>
      </c>
      <c r="C1" s="9" t="s">
        <v>1690</v>
      </c>
      <c r="D1" s="10" t="s">
        <v>1691</v>
      </c>
      <c r="E1" s="11" t="s">
        <v>1692</v>
      </c>
      <c r="F1" s="12" t="s">
        <v>11</v>
      </c>
    </row>
    <row r="2" spans="1:7">
      <c r="A2" s="7" t="s">
        <v>1693</v>
      </c>
      <c r="B2" s="8"/>
      <c r="C2" s="13" t="s">
        <v>1694</v>
      </c>
      <c r="D2" s="10">
        <v>429</v>
      </c>
      <c r="E2" s="14" t="s">
        <v>1695</v>
      </c>
      <c r="F2" s="15"/>
    </row>
    <row r="3" ht="28.8" spans="1:7">
      <c r="A3" s="7" t="s">
        <v>1696</v>
      </c>
      <c r="B3" s="8"/>
      <c r="C3" s="13" t="s">
        <v>1697</v>
      </c>
      <c r="D3" s="15">
        <v>429</v>
      </c>
      <c r="E3" s="14" t="s">
        <v>1698</v>
      </c>
      <c r="F3" s="15"/>
    </row>
    <row r="4" ht="28.8" spans="1:7">
      <c r="A4" s="7" t="s">
        <v>1699</v>
      </c>
      <c r="B4" s="8"/>
      <c r="C4" s="13" t="s">
        <v>1700</v>
      </c>
      <c r="D4" s="16">
        <v>422</v>
      </c>
      <c r="E4" s="14" t="s">
        <v>1701</v>
      </c>
      <c r="F4" s="15"/>
    </row>
    <row r="5" ht="28.8" spans="1:7">
      <c r="A5" s="7" t="s">
        <v>1702</v>
      </c>
      <c r="B5" s="17" t="s">
        <v>1703</v>
      </c>
      <c r="C5" s="13" t="s">
        <v>1704</v>
      </c>
      <c r="D5" s="18">
        <v>429</v>
      </c>
      <c r="E5" s="14" t="s">
        <v>1705</v>
      </c>
      <c r="F5" s="15"/>
    </row>
    <row r="6" ht="28.8" spans="1:7">
      <c r="A6" s="7" t="s">
        <v>1706</v>
      </c>
      <c r="B6" s="17" t="s">
        <v>1703</v>
      </c>
      <c r="C6" s="13" t="s">
        <v>1707</v>
      </c>
      <c r="D6" s="18">
        <v>429</v>
      </c>
      <c r="E6" s="14" t="s">
        <v>1705</v>
      </c>
      <c r="F6" s="15"/>
    </row>
    <row r="7" ht="28.8" spans="1:7">
      <c r="A7" s="7" t="s">
        <v>1708</v>
      </c>
      <c r="B7" s="17" t="s">
        <v>1703</v>
      </c>
      <c r="C7" s="13" t="s">
        <v>1704</v>
      </c>
      <c r="D7" s="18">
        <v>429</v>
      </c>
      <c r="E7" s="14" t="s">
        <v>1705</v>
      </c>
      <c r="F7" s="15"/>
    </row>
    <row r="8" spans="1:7">
      <c r="A8" s="7" t="s">
        <v>1709</v>
      </c>
      <c r="B8" s="8" t="s">
        <v>1710</v>
      </c>
      <c r="C8" s="13" t="s">
        <v>1711</v>
      </c>
      <c r="D8" s="19"/>
      <c r="E8" s="14" t="s">
        <v>1695</v>
      </c>
      <c r="F8" s="15"/>
    </row>
    <row r="9" ht="28.8" spans="1:7">
      <c r="A9" s="7" t="s">
        <v>1712</v>
      </c>
      <c r="B9" s="8" t="s">
        <v>1710</v>
      </c>
      <c r="C9" s="13" t="s">
        <v>1713</v>
      </c>
      <c r="D9" s="19"/>
      <c r="E9" s="14" t="s">
        <v>1701</v>
      </c>
      <c r="F9" s="15"/>
    </row>
    <row r="10" ht="43.2" spans="1:7">
      <c r="A10" s="20" t="s">
        <v>1714</v>
      </c>
      <c r="B10" s="8" t="s">
        <v>1715</v>
      </c>
      <c r="C10" s="21" t="s">
        <v>1713</v>
      </c>
      <c r="D10" s="19"/>
      <c r="E10" s="14" t="s">
        <v>1716</v>
      </c>
      <c r="F10" s="15"/>
      <c r="G10" s="22"/>
    </row>
    <row r="11" spans="1:7">
      <c r="A11" s="7" t="s">
        <v>1717</v>
      </c>
      <c r="B11" s="8" t="s">
        <v>1710</v>
      </c>
      <c r="C11" s="13" t="s">
        <v>1718</v>
      </c>
      <c r="D11" s="19"/>
      <c r="E11" s="14" t="s">
        <v>1695</v>
      </c>
      <c r="F11" s="15"/>
    </row>
    <row r="12" spans="1:7">
      <c r="A12" s="7" t="s">
        <v>1719</v>
      </c>
      <c r="B12" s="8"/>
      <c r="C12" s="13" t="s">
        <v>1720</v>
      </c>
      <c r="D12" s="19"/>
      <c r="E12" s="14" t="s">
        <v>1695</v>
      </c>
      <c r="F12" s="15"/>
    </row>
    <row r="13" ht="28.8" spans="1:7">
      <c r="A13" s="7" t="s">
        <v>1721</v>
      </c>
      <c r="B13" s="17" t="s">
        <v>1722</v>
      </c>
      <c r="C13" s="13" t="s">
        <v>1694</v>
      </c>
      <c r="D13" s="19"/>
      <c r="E13" s="14" t="s">
        <v>1695</v>
      </c>
      <c r="F13" s="15"/>
    </row>
    <row r="14" spans="1:7">
      <c r="A14" s="23" t="s">
        <v>1723</v>
      </c>
      <c r="B14" s="24"/>
      <c r="C14" s="25" t="s">
        <v>1711</v>
      </c>
      <c r="D14" s="26">
        <v>422</v>
      </c>
      <c r="E14" s="11" t="s">
        <v>1724</v>
      </c>
      <c r="F14" s="15"/>
    </row>
    <row r="15" ht="172.8" spans="1:7">
      <c r="A15" s="10" t="s">
        <v>1725</v>
      </c>
      <c r="B15" s="10"/>
      <c r="C15" s="16"/>
      <c r="D15" s="10" t="s">
        <v>1726</v>
      </c>
      <c r="E15" s="15" t="s">
        <v>1727</v>
      </c>
      <c r="F15" s="15"/>
    </row>
    <row r="16" ht="158.4" spans="1:7">
      <c r="A16" s="10" t="s">
        <v>1728</v>
      </c>
      <c r="B16" s="10"/>
      <c r="C16" s="16"/>
      <c r="D16" s="26" t="s">
        <v>1726</v>
      </c>
      <c r="E16" s="27" t="s">
        <v>1729</v>
      </c>
      <c r="F16" s="15"/>
    </row>
    <row r="17" spans="1:5">
      <c r="A17" s="28"/>
      <c r="B17" s="28"/>
      <c r="C17" s="28"/>
      <c r="D17" s="28"/>
      <c r="E17" s="28"/>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topLeftCell="A26" workbookViewId="0">
      <selection activeCell="B35" sqref="B35"/>
    </sheetView>
  </sheetViews>
  <sheetFormatPr defaultColWidth="8.88888888888889" defaultRowHeight="14.4" outlineLevelCol="3"/>
  <cols>
    <col min="1" max="1" width="9.66666666666667"/>
    <col min="2" max="2" width="79.7777777777778" style="1" customWidth="1"/>
    <col min="3" max="3" width="22.4444444444444" style="2" customWidth="1"/>
    <col min="4" max="4" width="16.7777777777778" customWidth="1"/>
  </cols>
  <sheetData>
    <row r="1" spans="1:4">
      <c r="A1" t="s">
        <v>1730</v>
      </c>
      <c r="B1" s="1" t="s">
        <v>1731</v>
      </c>
      <c r="C1" s="2" t="s">
        <v>1732</v>
      </c>
      <c r="D1" t="s">
        <v>11</v>
      </c>
    </row>
    <row r="2" ht="28.8" spans="1:4">
      <c r="A2">
        <v>20250925</v>
      </c>
      <c r="B2" s="1" t="s">
        <v>1733</v>
      </c>
      <c r="C2" s="2" t="s">
        <v>1734</v>
      </c>
    </row>
    <row r="3" spans="1:4">
      <c r="A3">
        <v>20250925</v>
      </c>
      <c r="B3" s="1" t="s">
        <v>1735</v>
      </c>
      <c r="C3" s="2" t="s">
        <v>1734</v>
      </c>
    </row>
    <row r="4" spans="1:4">
      <c r="A4">
        <v>20250925</v>
      </c>
      <c r="B4" s="1" t="s">
        <v>1736</v>
      </c>
      <c r="C4" s="2" t="s">
        <v>1734</v>
      </c>
    </row>
    <row r="5" spans="1:4">
      <c r="A5">
        <v>20250926</v>
      </c>
      <c r="B5" s="1" t="s">
        <v>1737</v>
      </c>
      <c r="C5" s="2" t="s">
        <v>1734</v>
      </c>
    </row>
    <row r="6" ht="28.8" spans="1:4">
      <c r="A6">
        <v>20250929</v>
      </c>
      <c r="B6" s="1" t="s">
        <v>1738</v>
      </c>
      <c r="C6" s="2" t="s">
        <v>1734</v>
      </c>
    </row>
    <row r="7" spans="1:4">
      <c r="A7">
        <v>20251003</v>
      </c>
      <c r="B7" s="1" t="s">
        <v>1739</v>
      </c>
      <c r="C7" s="2" t="s">
        <v>1734</v>
      </c>
    </row>
    <row r="8" spans="1:4">
      <c r="A8">
        <v>20251009</v>
      </c>
      <c r="B8" s="1" t="s">
        <v>1740</v>
      </c>
      <c r="C8" s="2" t="s">
        <v>1734</v>
      </c>
    </row>
    <row r="9" ht="72" spans="1:4">
      <c r="A9">
        <v>20251010</v>
      </c>
      <c r="B9" s="1" t="s">
        <v>1741</v>
      </c>
      <c r="C9" s="3" t="s">
        <v>1734</v>
      </c>
    </row>
    <row r="10" ht="43.2" spans="1:4">
      <c r="A10">
        <v>20251013</v>
      </c>
      <c r="B10" s="4" t="s">
        <v>1742</v>
      </c>
      <c r="C10" s="2" t="s">
        <v>1734</v>
      </c>
    </row>
    <row r="11" ht="57.6" spans="1:4">
      <c r="A11">
        <v>20251013</v>
      </c>
      <c r="B11" s="1" t="s">
        <v>1743</v>
      </c>
      <c r="C11" s="2" t="s">
        <v>1734</v>
      </c>
    </row>
    <row r="12" ht="28.8" spans="1:4">
      <c r="A12">
        <v>20251014</v>
      </c>
      <c r="B12" s="1" t="s">
        <v>1744</v>
      </c>
      <c r="C12" s="2" t="s">
        <v>1734</v>
      </c>
    </row>
    <row r="13" spans="1:4">
      <c r="A13">
        <v>20251015</v>
      </c>
      <c r="B13" s="1" t="s">
        <v>1745</v>
      </c>
      <c r="C13" s="2" t="s">
        <v>1734</v>
      </c>
    </row>
    <row r="14" ht="115.2" spans="1:4">
      <c r="A14">
        <v>20251020</v>
      </c>
      <c r="B14" s="1" t="s">
        <v>1746</v>
      </c>
      <c r="C14" s="2" t="s">
        <v>1734</v>
      </c>
      <c r="D14" t="s">
        <v>1747</v>
      </c>
    </row>
    <row r="15" spans="1:4">
      <c r="A15">
        <v>20251022</v>
      </c>
      <c r="B15" s="1" t="s">
        <v>1748</v>
      </c>
      <c r="C15" s="2" t="s">
        <v>1734</v>
      </c>
    </row>
    <row r="16" ht="28.8" spans="1:4">
      <c r="A16">
        <v>20251023</v>
      </c>
      <c r="B16" s="1" t="s">
        <v>1749</v>
      </c>
      <c r="C16" s="2" t="s">
        <v>1734</v>
      </c>
    </row>
    <row r="17" ht="28.8" spans="1:3">
      <c r="A17">
        <v>20251027</v>
      </c>
      <c r="B17" s="1" t="s">
        <v>1750</v>
      </c>
      <c r="C17" s="2" t="s">
        <v>1734</v>
      </c>
    </row>
    <row r="18" ht="28.8" spans="1:3">
      <c r="A18">
        <v>20251027</v>
      </c>
      <c r="B18" s="1" t="s">
        <v>1751</v>
      </c>
      <c r="C18" s="2" t="s">
        <v>1734</v>
      </c>
    </row>
    <row r="19" spans="1:3">
      <c r="A19">
        <v>20251027</v>
      </c>
      <c r="B19" s="1" t="s">
        <v>1752</v>
      </c>
      <c r="C19" s="2" t="s">
        <v>1734</v>
      </c>
    </row>
    <row r="20" ht="28.8" spans="1:3">
      <c r="A20">
        <v>20251029</v>
      </c>
      <c r="B20" s="1" t="s">
        <v>1753</v>
      </c>
      <c r="C20" s="2" t="s">
        <v>1734</v>
      </c>
    </row>
    <row r="21" ht="43.2" spans="1:3">
      <c r="A21">
        <v>20251029</v>
      </c>
      <c r="B21" s="1" t="s">
        <v>1754</v>
      </c>
      <c r="C21" s="2" t="s">
        <v>1734</v>
      </c>
    </row>
    <row r="22" spans="1:3">
      <c r="A22">
        <v>20251029</v>
      </c>
      <c r="B22" s="1" t="s">
        <v>1755</v>
      </c>
      <c r="C22" s="5" t="s">
        <v>1734</v>
      </c>
    </row>
    <row r="23" spans="1:3">
      <c r="A23">
        <v>20251102</v>
      </c>
      <c r="B23" s="1" t="s">
        <v>1756</v>
      </c>
      <c r="C23" s="5" t="s">
        <v>1734</v>
      </c>
    </row>
    <row r="24" ht="115.2" spans="1:3">
      <c r="A24">
        <v>20251102</v>
      </c>
      <c r="B24" s="1" t="s">
        <v>1757</v>
      </c>
      <c r="C24" s="5" t="s">
        <v>1734</v>
      </c>
    </row>
    <row r="25" ht="43.2" spans="1:3">
      <c r="A25">
        <v>20251102</v>
      </c>
      <c r="B25" s="1" t="s">
        <v>1758</v>
      </c>
      <c r="C25" s="5" t="s">
        <v>1734</v>
      </c>
    </row>
    <row r="26" ht="216" spans="1:3">
      <c r="A26">
        <v>20251103</v>
      </c>
      <c r="B26" s="1" t="s">
        <v>1759</v>
      </c>
      <c r="C26" s="5" t="s">
        <v>1734</v>
      </c>
    </row>
    <row r="27" ht="28.8" spans="1:3">
      <c r="A27">
        <v>20251104</v>
      </c>
      <c r="B27" s="1" t="s">
        <v>1760</v>
      </c>
      <c r="C27" s="5" t="s">
        <v>1734</v>
      </c>
    </row>
    <row r="28" ht="28.8" spans="1:3">
      <c r="A28">
        <v>20251105</v>
      </c>
      <c r="B28" s="1" t="s">
        <v>1761</v>
      </c>
      <c r="C28" s="5" t="s">
        <v>1734</v>
      </c>
    </row>
    <row r="29" ht="43.2" spans="1:3">
      <c r="A29">
        <v>20251118</v>
      </c>
      <c r="B29" s="1" t="s">
        <v>1762</v>
      </c>
      <c r="C29" s="5" t="s">
        <v>1734</v>
      </c>
    </row>
    <row r="30" spans="1:3">
      <c r="A30">
        <v>20251126</v>
      </c>
      <c r="B30" s="1" t="s">
        <v>1763</v>
      </c>
      <c r="C30" s="5" t="s">
        <v>1734</v>
      </c>
    </row>
    <row r="31" spans="1:3">
      <c r="A31">
        <v>20251126</v>
      </c>
      <c r="B31" s="1" t="s">
        <v>1764</v>
      </c>
      <c r="C31" s="2" t="s">
        <v>1734</v>
      </c>
    </row>
    <row r="32" spans="1:3">
      <c r="A32">
        <v>20251126</v>
      </c>
      <c r="B32" s="1" t="s">
        <v>1765</v>
      </c>
      <c r="C32" s="2" t="s">
        <v>1734</v>
      </c>
    </row>
    <row r="33" spans="1:3">
      <c r="A33">
        <v>20251229</v>
      </c>
      <c r="B33" s="1" t="s">
        <v>1766</v>
      </c>
      <c r="C33" s="2" t="s">
        <v>1734</v>
      </c>
    </row>
    <row r="34" spans="1:3">
      <c r="A34">
        <v>20260106</v>
      </c>
      <c r="B34" s="1" t="s">
        <v>1767</v>
      </c>
      <c r="C34" s="2" t="s">
        <v>1734</v>
      </c>
    </row>
    <row r="35" ht="57.6" spans="1:3">
      <c r="A35">
        <v>20260306</v>
      </c>
      <c r="B35" s="1" t="s">
        <v>1768</v>
      </c>
      <c r="C35" s="2" t="s">
        <v>1734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上行数据</vt:lpstr>
      <vt:lpstr>下行数据</vt:lpstr>
      <vt:lpstr>网络交互数据</vt:lpstr>
      <vt:lpstr>协议版本</vt:lpstr>
      <vt:lpstr>更改记录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YYF</cp:lastModifiedBy>
  <dcterms:created xsi:type="dcterms:W3CDTF">2025-04-15T10:29:00Z</dcterms:created>
  <dcterms:modified xsi:type="dcterms:W3CDTF">2026-03-06T02:59:20Z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01854324581149D9946ADC17BDDAA9C5_13</vt:lpwstr>
  </property>
  <property fmtid="{D5CDD505-2E9C-101B-9397-08002B2CF9AE}" pid="3" name="KSOProductBuildVer">
    <vt:lpwstr>2052-12.1.0.23542</vt:lpwstr>
  </property>
</Properties>
</file>